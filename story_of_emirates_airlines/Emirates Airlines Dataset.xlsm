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Dell\Downloads\Emirates\"/>
    </mc:Choice>
  </mc:AlternateContent>
  <xr:revisionPtr revIDLastSave="0" documentId="13_ncr:1_{3A41A0E2-4AEE-4B7E-9A84-CB58B577F9F0}" xr6:coauthVersionLast="47" xr6:coauthVersionMax="47" xr10:uidLastSave="{00000000-0000-0000-0000-000000000000}"/>
  <bookViews>
    <workbookView xWindow="-108" yWindow="-108" windowWidth="23256" windowHeight="12576" xr2:uid="{A5B24917-C41B-4F84-BF48-AB3A09D8F0DF}"/>
  </bookViews>
  <sheets>
    <sheet name="Destinations" sheetId="1" r:id="rId1"/>
    <sheet name="Timeline" sheetId="2" r:id="rId2"/>
    <sheet name="Outline" sheetId="3" r:id="rId3"/>
    <sheet name="A380" sheetId="4" r:id="rId4"/>
    <sheet name="Boeing 777" sheetId="5"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 l="1" a="1"/>
  <c r="C3" i="1" a="1"/>
  <c r="C2" i="1" a="1"/>
  <c r="B2" i="1" a="1"/>
  <c r="I3" i="1" a="1"/>
  <c r="I5" i="1" a="1"/>
  <c r="I7" i="1" a="1"/>
  <c r="I9" i="1" a="1"/>
  <c r="I11" i="1" a="1"/>
  <c r="I13" i="1" a="1"/>
  <c r="I15" i="1" a="1"/>
  <c r="I17" i="1" a="1"/>
  <c r="I19" i="1" a="1"/>
  <c r="I21" i="1" a="1"/>
  <c r="I23" i="1" a="1"/>
  <c r="I25" i="1" a="1"/>
  <c r="I27" i="1" a="1"/>
  <c r="I29" i="1" a="1"/>
  <c r="I31" i="1" a="1"/>
  <c r="I33" i="1" a="1"/>
  <c r="I35" i="1" a="1"/>
  <c r="I37" i="1" a="1"/>
  <c r="I39" i="1" a="1"/>
  <c r="I41" i="1" a="1"/>
  <c r="I43" i="1" a="1"/>
  <c r="I45" i="1" a="1"/>
  <c r="I47" i="1" a="1"/>
  <c r="I49" i="1" a="1"/>
  <c r="I51" i="1" a="1"/>
  <c r="I53" i="1" a="1"/>
  <c r="I55" i="1" a="1"/>
  <c r="I57" i="1" a="1"/>
  <c r="I59" i="1" a="1"/>
  <c r="I61" i="1" a="1"/>
  <c r="I63" i="1" a="1"/>
  <c r="I65" i="1" a="1"/>
  <c r="I67" i="1" a="1"/>
  <c r="I69" i="1" a="1"/>
  <c r="I71" i="1" a="1"/>
  <c r="I73" i="1" a="1"/>
  <c r="I75" i="1" a="1"/>
  <c r="I77" i="1" a="1"/>
  <c r="I79" i="1" a="1"/>
  <c r="I81" i="1" a="1"/>
  <c r="I83" i="1" a="1"/>
  <c r="I85" i="1" a="1"/>
  <c r="I87" i="1" a="1"/>
  <c r="I89" i="1" a="1"/>
  <c r="I91" i="1" a="1"/>
  <c r="I93" i="1" a="1"/>
  <c r="I95" i="1" a="1"/>
  <c r="I97" i="1" a="1"/>
  <c r="I99" i="1" a="1"/>
  <c r="I101" i="1" a="1"/>
  <c r="I103" i="1" a="1"/>
  <c r="I105" i="1" a="1"/>
  <c r="I107" i="1" a="1"/>
  <c r="I109" i="1" a="1"/>
  <c r="I111" i="1" a="1"/>
  <c r="I113" i="1" a="1"/>
  <c r="I115" i="1" a="1"/>
  <c r="I117" i="1" a="1"/>
  <c r="I119" i="1" a="1"/>
  <c r="I121" i="1" a="1"/>
  <c r="I123" i="1" a="1"/>
  <c r="I125" i="1" a="1"/>
  <c r="I127" i="1" a="1"/>
  <c r="I129" i="1" a="1"/>
  <c r="I131" i="1" a="1"/>
  <c r="I133" i="1" a="1"/>
  <c r="I135" i="1" a="1"/>
  <c r="I137" i="1" a="1"/>
  <c r="I139" i="1" a="1"/>
  <c r="I141" i="1" a="1"/>
  <c r="I4" i="1" a="1"/>
  <c r="I8" i="1" a="1"/>
  <c r="I12" i="1" a="1"/>
  <c r="I16" i="1" a="1"/>
  <c r="I20" i="1" a="1"/>
  <c r="I24" i="1" a="1"/>
  <c r="I28" i="1" a="1"/>
  <c r="I32" i="1" a="1"/>
  <c r="I36" i="1" a="1"/>
  <c r="I40" i="1" a="1"/>
  <c r="I44" i="1" a="1"/>
  <c r="I48" i="1" a="1"/>
  <c r="I52" i="1" a="1"/>
  <c r="I56" i="1" a="1"/>
  <c r="I60" i="1" a="1"/>
  <c r="I64" i="1" a="1"/>
  <c r="I68" i="1" a="1"/>
  <c r="I72" i="1" a="1"/>
  <c r="I76" i="1" a="1"/>
  <c r="I82" i="1" a="1"/>
  <c r="I90" i="1" a="1"/>
  <c r="I98" i="1" a="1"/>
  <c r="I106" i="1" a="1"/>
  <c r="I114" i="1" a="1"/>
  <c r="I122" i="1" a="1"/>
  <c r="I130" i="1" a="1"/>
  <c r="I138" i="1" a="1"/>
  <c r="I18" i="1" a="1"/>
  <c r="I26" i="1" a="1"/>
  <c r="I34" i="1" a="1"/>
  <c r="I42" i="1" a="1"/>
  <c r="I54" i="1" a="1"/>
  <c r="I62" i="1" a="1"/>
  <c r="I70" i="1" a="1"/>
  <c r="I78" i="1" a="1"/>
  <c r="I94" i="1" a="1"/>
  <c r="I102" i="1" a="1"/>
  <c r="I118" i="1" a="1"/>
  <c r="I134" i="1" a="1"/>
  <c r="I142" i="1" a="1"/>
  <c r="I92" i="1" a="1"/>
  <c r="I100" i="1" a="1"/>
  <c r="I116" i="1" a="1"/>
  <c r="I140" i="1" a="1"/>
  <c r="I80" i="1" a="1"/>
  <c r="I88" i="1" a="1"/>
  <c r="I96" i="1" a="1"/>
  <c r="I104" i="1" a="1"/>
  <c r="I112" i="1" a="1"/>
  <c r="I120" i="1" a="1"/>
  <c r="I128" i="1" a="1"/>
  <c r="I136" i="1" a="1"/>
  <c r="I6" i="1" a="1"/>
  <c r="I10" i="1" a="1"/>
  <c r="I14" i="1" a="1"/>
  <c r="I22" i="1" a="1"/>
  <c r="I30" i="1" a="1"/>
  <c r="I38" i="1" a="1"/>
  <c r="I46" i="1" a="1"/>
  <c r="I50" i="1" a="1"/>
  <c r="I58" i="1" a="1"/>
  <c r="I66" i="1" a="1"/>
  <c r="I74" i="1" a="1"/>
  <c r="I86" i="1" a="1"/>
  <c r="I110" i="1" a="1"/>
  <c r="I126" i="1" a="1"/>
  <c r="I84" i="1" a="1"/>
  <c r="I108" i="1" a="1"/>
  <c r="I124" i="1" a="1"/>
  <c r="I132" i="1" a="1"/>
  <c r="I2" i="1" a="1"/>
  <c r="H3" i="1" a="1"/>
  <c r="H5" i="1" a="1"/>
  <c r="H7" i="1" a="1"/>
  <c r="H9" i="1" a="1"/>
  <c r="H11" i="1" a="1"/>
  <c r="H13" i="1" a="1"/>
  <c r="H15" i="1" a="1"/>
  <c r="H17" i="1" a="1"/>
  <c r="H19" i="1" a="1"/>
  <c r="H21" i="1" a="1"/>
  <c r="H23" i="1" a="1"/>
  <c r="H25" i="1" a="1"/>
  <c r="H27" i="1" a="1"/>
  <c r="H29" i="1" a="1"/>
  <c r="H31" i="1" a="1"/>
  <c r="H33" i="1" a="1"/>
  <c r="H35" i="1" a="1"/>
  <c r="H37" i="1" a="1"/>
  <c r="H39" i="1" a="1"/>
  <c r="H41" i="1" a="1"/>
  <c r="H43" i="1" a="1"/>
  <c r="H45" i="1" a="1"/>
  <c r="H47" i="1" a="1"/>
  <c r="H49" i="1" a="1"/>
  <c r="H51" i="1" a="1"/>
  <c r="H53" i="1" a="1"/>
  <c r="H55" i="1" a="1"/>
  <c r="H57" i="1" a="1"/>
  <c r="H59" i="1" a="1"/>
  <c r="H61" i="1" a="1"/>
  <c r="H63" i="1" a="1"/>
  <c r="H65" i="1" a="1"/>
  <c r="H67" i="1" a="1"/>
  <c r="H69" i="1" a="1"/>
  <c r="H71" i="1" a="1"/>
  <c r="H73" i="1" a="1"/>
  <c r="H75" i="1" a="1"/>
  <c r="H77" i="1" a="1"/>
  <c r="H79" i="1" a="1"/>
  <c r="H81" i="1" a="1"/>
  <c r="H83" i="1" a="1"/>
  <c r="H85" i="1" a="1"/>
  <c r="H4" i="1" a="1"/>
  <c r="H6" i="1" a="1"/>
  <c r="H8" i="1" a="1"/>
  <c r="H10" i="1" a="1"/>
  <c r="H12" i="1" a="1"/>
  <c r="H14" i="1" a="1"/>
  <c r="H16" i="1" a="1"/>
  <c r="H18" i="1" a="1"/>
  <c r="H20" i="1" a="1"/>
  <c r="H22" i="1" a="1"/>
  <c r="H24" i="1" a="1"/>
  <c r="H26" i="1" a="1"/>
  <c r="H28" i="1" a="1"/>
  <c r="H30" i="1" a="1"/>
  <c r="H32" i="1" a="1"/>
  <c r="H34" i="1" a="1"/>
  <c r="H36" i="1" a="1"/>
  <c r="H38" i="1" a="1"/>
  <c r="H40" i="1" a="1"/>
  <c r="H42" i="1" a="1"/>
  <c r="H44" i="1" a="1"/>
  <c r="H46" i="1" a="1"/>
  <c r="H50" i="1" a="1"/>
  <c r="H54" i="1" a="1"/>
  <c r="H58" i="1" a="1"/>
  <c r="H62" i="1" a="1"/>
  <c r="H66" i="1" a="1"/>
  <c r="H70" i="1" a="1"/>
  <c r="H74" i="1" a="1"/>
  <c r="H78" i="1" a="1"/>
  <c r="H82" i="1" a="1"/>
  <c r="H86" i="1" a="1"/>
  <c r="H91" i="1" a="1"/>
  <c r="H94" i="1" a="1"/>
  <c r="H99" i="1" a="1"/>
  <c r="H102" i="1" a="1"/>
  <c r="H107" i="1" a="1"/>
  <c r="H110" i="1" a="1"/>
  <c r="H115" i="1" a="1"/>
  <c r="H118" i="1" a="1"/>
  <c r="H123" i="1" a="1"/>
  <c r="H126" i="1" a="1"/>
  <c r="H131" i="1" a="1"/>
  <c r="H134" i="1" a="1"/>
  <c r="H139" i="1" a="1"/>
  <c r="H142" i="1" a="1"/>
  <c r="H89" i="1" a="1"/>
  <c r="H92" i="1" a="1"/>
  <c r="H97" i="1" a="1"/>
  <c r="H100" i="1" a="1"/>
  <c r="H105" i="1" a="1"/>
  <c r="H108" i="1" a="1"/>
  <c r="H113" i="1" a="1"/>
  <c r="H116" i="1" a="1"/>
  <c r="H121" i="1" a="1"/>
  <c r="H124" i="1" a="1"/>
  <c r="H129" i="1" a="1"/>
  <c r="H132" i="1" a="1"/>
  <c r="H137" i="1" a="1"/>
  <c r="H140" i="1" a="1"/>
  <c r="H48" i="1" a="1"/>
  <c r="H52" i="1" a="1"/>
  <c r="H56" i="1" a="1"/>
  <c r="H60" i="1" a="1"/>
  <c r="H64" i="1" a="1"/>
  <c r="H68" i="1" a="1"/>
  <c r="H72" i="1" a="1"/>
  <c r="H76" i="1" a="1"/>
  <c r="H80" i="1" a="1"/>
  <c r="H84" i="1" a="1"/>
  <c r="H87" i="1" a="1"/>
  <c r="H90" i="1" a="1"/>
  <c r="H95" i="1" a="1"/>
  <c r="H98" i="1" a="1"/>
  <c r="H103" i="1" a="1"/>
  <c r="H106" i="1" a="1"/>
  <c r="H111" i="1" a="1"/>
  <c r="H114" i="1" a="1"/>
  <c r="H119" i="1" a="1"/>
  <c r="H122" i="1" a="1"/>
  <c r="H101" i="1" a="1"/>
  <c r="H112" i="1" a="1"/>
  <c r="H130" i="1" a="1"/>
  <c r="H135" i="1" a="1"/>
  <c r="H93" i="1" a="1"/>
  <c r="H104" i="1" a="1"/>
  <c r="H125" i="1" a="1"/>
  <c r="H136" i="1" a="1"/>
  <c r="H141" i="1" a="1"/>
  <c r="H96" i="1" a="1"/>
  <c r="H117" i="1" a="1"/>
  <c r="H127" i="1" a="1"/>
  <c r="H138" i="1" a="1"/>
  <c r="H88" i="1" a="1"/>
  <c r="H109" i="1" a="1"/>
  <c r="H120" i="1" a="1"/>
  <c r="H128" i="1" a="1"/>
  <c r="H133" i="1" a="1"/>
  <c r="H2" i="1" a="1"/>
  <c r="C3" i="1" l="1"/>
  <c r="B3" i="1"/>
  <c r="C2" i="1"/>
  <c r="B2" i="1"/>
  <c r="I132" i="1"/>
  <c r="I124" i="1"/>
  <c r="I108" i="1"/>
  <c r="I84" i="1"/>
  <c r="I126" i="1"/>
  <c r="I110" i="1"/>
  <c r="I86" i="1"/>
  <c r="I74" i="1"/>
  <c r="I66" i="1"/>
  <c r="I58" i="1"/>
  <c r="I50" i="1"/>
  <c r="I46" i="1"/>
  <c r="I38" i="1"/>
  <c r="I30" i="1"/>
  <c r="I22" i="1"/>
  <c r="I14" i="1"/>
  <c r="I10" i="1"/>
  <c r="I6" i="1"/>
  <c r="I136" i="1"/>
  <c r="I128" i="1"/>
  <c r="I120" i="1"/>
  <c r="I112" i="1"/>
  <c r="I104" i="1"/>
  <c r="I96" i="1"/>
  <c r="I88" i="1"/>
  <c r="I80" i="1"/>
  <c r="I140" i="1"/>
  <c r="I116" i="1"/>
  <c r="I100" i="1"/>
  <c r="I92" i="1"/>
  <c r="I142" i="1"/>
  <c r="I134" i="1"/>
  <c r="I118" i="1"/>
  <c r="I102" i="1"/>
  <c r="I94" i="1"/>
  <c r="I78" i="1"/>
  <c r="I70" i="1"/>
  <c r="I62" i="1"/>
  <c r="I54" i="1"/>
  <c r="I42" i="1"/>
  <c r="I34" i="1"/>
  <c r="I26" i="1"/>
  <c r="I18" i="1"/>
  <c r="I138" i="1"/>
  <c r="I130" i="1"/>
  <c r="I122" i="1"/>
  <c r="I114" i="1"/>
  <c r="I106" i="1"/>
  <c r="I98" i="1"/>
  <c r="I90" i="1"/>
  <c r="I82" i="1"/>
  <c r="I76" i="1"/>
  <c r="I72" i="1"/>
  <c r="I68" i="1"/>
  <c r="I64" i="1"/>
  <c r="I60" i="1"/>
  <c r="I56" i="1"/>
  <c r="I52" i="1"/>
  <c r="I48" i="1"/>
  <c r="I44" i="1"/>
  <c r="I40" i="1"/>
  <c r="I36" i="1"/>
  <c r="I32" i="1"/>
  <c r="I28" i="1"/>
  <c r="I24" i="1"/>
  <c r="I20" i="1"/>
  <c r="I16" i="1"/>
  <c r="I12" i="1"/>
  <c r="I8" i="1"/>
  <c r="I4" i="1"/>
  <c r="I141" i="1"/>
  <c r="I139" i="1"/>
  <c r="I137" i="1"/>
  <c r="I135" i="1"/>
  <c r="I133" i="1"/>
  <c r="I131" i="1"/>
  <c r="I129" i="1"/>
  <c r="I127" i="1"/>
  <c r="I125" i="1"/>
  <c r="I123" i="1"/>
  <c r="I121" i="1"/>
  <c r="I119" i="1"/>
  <c r="I117" i="1"/>
  <c r="I115" i="1"/>
  <c r="I113" i="1"/>
  <c r="I111" i="1"/>
  <c r="I109" i="1"/>
  <c r="I107" i="1"/>
  <c r="I105" i="1"/>
  <c r="I103" i="1"/>
  <c r="I101" i="1"/>
  <c r="I99" i="1"/>
  <c r="I97" i="1"/>
  <c r="I95" i="1"/>
  <c r="I93" i="1"/>
  <c r="I91" i="1"/>
  <c r="I89" i="1"/>
  <c r="I87" i="1"/>
  <c r="I85" i="1"/>
  <c r="I83" i="1"/>
  <c r="I81" i="1"/>
  <c r="I79" i="1"/>
  <c r="I77" i="1"/>
  <c r="I75" i="1"/>
  <c r="I73" i="1"/>
  <c r="I71" i="1"/>
  <c r="I69" i="1"/>
  <c r="I67" i="1"/>
  <c r="I65" i="1"/>
  <c r="I63" i="1"/>
  <c r="I61" i="1"/>
  <c r="I59" i="1"/>
  <c r="I57" i="1"/>
  <c r="I55" i="1"/>
  <c r="I53" i="1"/>
  <c r="I51" i="1"/>
  <c r="I49" i="1"/>
  <c r="I47" i="1"/>
  <c r="I45" i="1"/>
  <c r="I43" i="1"/>
  <c r="I41" i="1"/>
  <c r="I39" i="1"/>
  <c r="I37" i="1"/>
  <c r="I35" i="1"/>
  <c r="I33" i="1"/>
  <c r="I31" i="1"/>
  <c r="I29" i="1"/>
  <c r="I27" i="1"/>
  <c r="I25" i="1"/>
  <c r="I23" i="1"/>
  <c r="I21" i="1"/>
  <c r="I19" i="1"/>
  <c r="I17" i="1"/>
  <c r="I15" i="1"/>
  <c r="I13" i="1"/>
  <c r="I11" i="1"/>
  <c r="I9" i="1"/>
  <c r="I7" i="1"/>
  <c r="I5" i="1"/>
  <c r="I3" i="1"/>
  <c r="I2" i="1"/>
  <c r="H133" i="1"/>
  <c r="H128" i="1"/>
  <c r="H120" i="1"/>
  <c r="H109" i="1"/>
  <c r="H88" i="1"/>
  <c r="H138" i="1"/>
  <c r="H127" i="1"/>
  <c r="H117" i="1"/>
  <c r="H96" i="1"/>
  <c r="H141" i="1"/>
  <c r="H136" i="1"/>
  <c r="H125" i="1"/>
  <c r="H104" i="1"/>
  <c r="H93" i="1"/>
  <c r="H135" i="1"/>
  <c r="H130" i="1"/>
  <c r="H112" i="1"/>
  <c r="H101" i="1"/>
  <c r="H122" i="1"/>
  <c r="H119" i="1"/>
  <c r="H114" i="1"/>
  <c r="H111" i="1"/>
  <c r="H106" i="1"/>
  <c r="H103" i="1"/>
  <c r="H98" i="1"/>
  <c r="H95" i="1"/>
  <c r="H90" i="1"/>
  <c r="H87" i="1"/>
  <c r="H84" i="1"/>
  <c r="H80" i="1"/>
  <c r="H76" i="1"/>
  <c r="H72" i="1"/>
  <c r="H68" i="1"/>
  <c r="H64" i="1"/>
  <c r="H60" i="1"/>
  <c r="H56" i="1"/>
  <c r="H52" i="1"/>
  <c r="H48" i="1"/>
  <c r="H140" i="1"/>
  <c r="H137" i="1"/>
  <c r="H132" i="1"/>
  <c r="H129" i="1"/>
  <c r="H124" i="1"/>
  <c r="H121" i="1"/>
  <c r="H116" i="1"/>
  <c r="H113" i="1"/>
  <c r="H108" i="1"/>
  <c r="H105" i="1"/>
  <c r="H100" i="1"/>
  <c r="H97" i="1"/>
  <c r="H92" i="1"/>
  <c r="H89" i="1"/>
  <c r="H142" i="1"/>
  <c r="H139" i="1"/>
  <c r="H134" i="1"/>
  <c r="H131" i="1"/>
  <c r="H126" i="1"/>
  <c r="H123" i="1"/>
  <c r="H118" i="1"/>
  <c r="H115" i="1"/>
  <c r="H110" i="1"/>
  <c r="H107" i="1"/>
  <c r="H102" i="1"/>
  <c r="H99" i="1"/>
  <c r="H94" i="1"/>
  <c r="H91" i="1"/>
  <c r="H86" i="1"/>
  <c r="H82" i="1"/>
  <c r="H78" i="1"/>
  <c r="H74" i="1"/>
  <c r="H70" i="1"/>
  <c r="H66" i="1"/>
  <c r="H62" i="1"/>
  <c r="H58" i="1"/>
  <c r="H54" i="1"/>
  <c r="H50" i="1"/>
  <c r="H46" i="1"/>
  <c r="H44" i="1"/>
  <c r="H42" i="1"/>
  <c r="H40" i="1"/>
  <c r="H38" i="1"/>
  <c r="H36" i="1"/>
  <c r="H34" i="1"/>
  <c r="H32" i="1"/>
  <c r="H30" i="1"/>
  <c r="H28" i="1"/>
  <c r="H26" i="1"/>
  <c r="H24" i="1"/>
  <c r="H22" i="1"/>
  <c r="H20" i="1"/>
  <c r="H18" i="1"/>
  <c r="H16" i="1"/>
  <c r="H14" i="1"/>
  <c r="H12" i="1"/>
  <c r="H10" i="1"/>
  <c r="H8" i="1"/>
  <c r="H6" i="1"/>
  <c r="H4" i="1"/>
  <c r="H85" i="1"/>
  <c r="H83" i="1"/>
  <c r="H81" i="1"/>
  <c r="H79" i="1"/>
  <c r="H77" i="1"/>
  <c r="H75" i="1"/>
  <c r="H73" i="1"/>
  <c r="H71" i="1"/>
  <c r="H69" i="1"/>
  <c r="H67" i="1"/>
  <c r="H65" i="1"/>
  <c r="H63" i="1"/>
  <c r="H61" i="1"/>
  <c r="H59" i="1"/>
  <c r="H57" i="1"/>
  <c r="H55" i="1"/>
  <c r="H53" i="1"/>
  <c r="H51" i="1"/>
  <c r="H49" i="1"/>
  <c r="H47" i="1"/>
  <c r="H45" i="1"/>
  <c r="H43" i="1"/>
  <c r="H41" i="1"/>
  <c r="H39" i="1"/>
  <c r="H37" i="1"/>
  <c r="H35" i="1"/>
  <c r="H33" i="1"/>
  <c r="H31" i="1"/>
  <c r="H29" i="1"/>
  <c r="H27" i="1"/>
  <c r="H25" i="1"/>
  <c r="H23" i="1"/>
  <c r="H21" i="1"/>
  <c r="H19" i="1"/>
  <c r="H17" i="1"/>
  <c r="H15" i="1"/>
  <c r="H13" i="1"/>
  <c r="H11" i="1"/>
  <c r="H9" i="1"/>
  <c r="H7" i="1"/>
  <c r="H5" i="1"/>
  <c r="H3" i="1"/>
  <c r="H2"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<sst xmlns="http://schemas.openxmlformats.org/spreadsheetml/2006/main" count="796" uniqueCount="568">
  <si>
    <t>Airport</t>
  </si>
  <si>
    <t>IATA Code</t>
  </si>
  <si>
    <t>Abidjan</t>
  </si>
  <si>
    <t>Ivory Coast</t>
  </si>
  <si>
    <t>Felix Houphouet Boigny Airport</t>
  </si>
  <si>
    <t>ABJ</t>
  </si>
  <si>
    <t>Abuja</t>
  </si>
  <si>
    <t>Nigeria</t>
  </si>
  <si>
    <t>Abuja Nnamdi Azikiwe International Airport</t>
  </si>
  <si>
    <t>ABV</t>
  </si>
  <si>
    <t>Accra</t>
  </si>
  <si>
    <t>Ghana</t>
  </si>
  <si>
    <t>Kotoka International Airport</t>
  </si>
  <si>
    <t>ACC</t>
  </si>
  <si>
    <t>Addis Ababa</t>
  </si>
  <si>
    <t>Ethiopia</t>
  </si>
  <si>
    <t>Bole International Airport</t>
  </si>
  <si>
    <t>ADD</t>
  </si>
  <si>
    <t>Auckland</t>
  </si>
  <si>
    <t>New Zealand</t>
  </si>
  <si>
    <t>Auckland International Airport</t>
  </si>
  <si>
    <t>AKL</t>
  </si>
  <si>
    <t>Algiers</t>
  </si>
  <si>
    <t>Algeria</t>
  </si>
  <si>
    <t>Houari Boumediene Airport</t>
  </si>
  <si>
    <t>ALG</t>
  </si>
  <si>
    <t>Ahmedabad</t>
  </si>
  <si>
    <t>India</t>
  </si>
  <si>
    <t>Sardar Vallabhbhai Patel International Airport</t>
  </si>
  <si>
    <t>AMD</t>
  </si>
  <si>
    <t>Amman</t>
  </si>
  <si>
    <t>Jordan</t>
  </si>
  <si>
    <t>Queen Alia International Airport</t>
  </si>
  <si>
    <t>AMM</t>
  </si>
  <si>
    <t>Amsterdam</t>
  </si>
  <si>
    <t>Netherlands</t>
  </si>
  <si>
    <t>Amsterdam Airport Schiphol</t>
  </si>
  <si>
    <t>AMS</t>
  </si>
  <si>
    <t>Stockholm</t>
  </si>
  <si>
    <t>Sweden</t>
  </si>
  <si>
    <t>Stockholm-Arlanda Airport</t>
  </si>
  <si>
    <t>ARN</t>
  </si>
  <si>
    <t>Athens</t>
  </si>
  <si>
    <t>Greece</t>
  </si>
  <si>
    <t>Eleftherios Venizelos Airport</t>
  </si>
  <si>
    <t>ATH</t>
  </si>
  <si>
    <t>Bahrain</t>
  </si>
  <si>
    <t>Bahrain International Airport</t>
  </si>
  <si>
    <t>BAH</t>
  </si>
  <si>
    <t>Barcelona</t>
  </si>
  <si>
    <t>Spain</t>
  </si>
  <si>
    <t>El Prat Airport</t>
  </si>
  <si>
    <t>BCN</t>
  </si>
  <si>
    <t>Beirut</t>
  </si>
  <si>
    <t>Lebanon</t>
  </si>
  <si>
    <t>Rafic Hariri International Airport</t>
  </si>
  <si>
    <t>BEY</t>
  </si>
  <si>
    <t>Baghdad</t>
  </si>
  <si>
    <t>Iraq</t>
  </si>
  <si>
    <t>Baghdad International Airport</t>
  </si>
  <si>
    <t>BGW</t>
  </si>
  <si>
    <t>Birmingham</t>
  </si>
  <si>
    <t>United Kingdom</t>
  </si>
  <si>
    <t>Birmingham International Airport</t>
  </si>
  <si>
    <t>BHX</t>
  </si>
  <si>
    <t>Bangkok</t>
  </si>
  <si>
    <t>Thailand</t>
  </si>
  <si>
    <t>Suvarnabhumi International Airport</t>
  </si>
  <si>
    <t>BKK</t>
  </si>
  <si>
    <t>Bologna</t>
  </si>
  <si>
    <t>Italy</t>
  </si>
  <si>
    <t>Bologna Airport</t>
  </si>
  <si>
    <t>BLQ</t>
  </si>
  <si>
    <t>Bengaluru</t>
  </si>
  <si>
    <t>Bengaluru International Airport</t>
  </si>
  <si>
    <t>BLR</t>
  </si>
  <si>
    <t>Brisbane</t>
  </si>
  <si>
    <t>Australia</t>
  </si>
  <si>
    <t>Brisbane Airport</t>
  </si>
  <si>
    <t>BNE</t>
  </si>
  <si>
    <t>Mumbai</t>
  </si>
  <si>
    <t>Chhatrapati Shivaji International</t>
  </si>
  <si>
    <t>BOM</t>
  </si>
  <si>
    <t>Boston</t>
  </si>
  <si>
    <t>United States</t>
  </si>
  <si>
    <t>Logan International Airport</t>
  </si>
  <si>
    <t>BOS</t>
  </si>
  <si>
    <t>Brussels</t>
  </si>
  <si>
    <t>Belgium</t>
  </si>
  <si>
    <t>Brussels Airport</t>
  </si>
  <si>
    <t>BRU</t>
  </si>
  <si>
    <t>Basra</t>
  </si>
  <si>
    <t>Basra International Airport</t>
  </si>
  <si>
    <t>BSR</t>
  </si>
  <si>
    <t>Budapest</t>
  </si>
  <si>
    <t>Hungary</t>
  </si>
  <si>
    <t>Ferenc Liszt International Airport</t>
  </si>
  <si>
    <t>BUD</t>
  </si>
  <si>
    <t>Cairo</t>
  </si>
  <si>
    <t>Egypt</t>
  </si>
  <si>
    <t>Cairo International Airport</t>
  </si>
  <si>
    <t>CAI</t>
  </si>
  <si>
    <t>Guangzhou</t>
  </si>
  <si>
    <t>China</t>
  </si>
  <si>
    <t>Guangzhou Baiyun International Airport</t>
  </si>
  <si>
    <t>CAN</t>
  </si>
  <si>
    <t>Kolkata</t>
  </si>
  <si>
    <t>Netaji Subhas Chandra Bose International Airport</t>
  </si>
  <si>
    <t>CCU</t>
  </si>
  <si>
    <t>Paris</t>
  </si>
  <si>
    <t>France</t>
  </si>
  <si>
    <t>Charles De Gaulle Airport</t>
  </si>
  <si>
    <t>CDG</t>
  </si>
  <si>
    <t>Cebu</t>
  </si>
  <si>
    <t>Philippines</t>
  </si>
  <si>
    <t>Mactan-Cebu International Airport</t>
  </si>
  <si>
    <t>CEB</t>
  </si>
  <si>
    <t>Jakarta</t>
  </si>
  <si>
    <t>Indonesia</t>
  </si>
  <si>
    <t>Soekarno-Hatta International Airport</t>
  </si>
  <si>
    <t>CGK</t>
  </si>
  <si>
    <t>Christchurch</t>
  </si>
  <si>
    <t>Christchurch International Airport</t>
  </si>
  <si>
    <t>CHC</t>
  </si>
  <si>
    <t>Conakry</t>
  </si>
  <si>
    <t>Guinea</t>
  </si>
  <si>
    <t>Conakry International Airport</t>
  </si>
  <si>
    <t>CKY</t>
  </si>
  <si>
    <t>Colombo</t>
  </si>
  <si>
    <t>Sri Lanka</t>
  </si>
  <si>
    <t>Bandaranaike Airport</t>
  </si>
  <si>
    <t>CMB</t>
  </si>
  <si>
    <t>Casablanca</t>
  </si>
  <si>
    <t>Morocco</t>
  </si>
  <si>
    <t>Mohammed V International Airport</t>
  </si>
  <si>
    <t>CMN</t>
  </si>
  <si>
    <t>Kochi</t>
  </si>
  <si>
    <t>Kochi International Airport</t>
  </si>
  <si>
    <t>COK</t>
  </si>
  <si>
    <t>Copenhagen</t>
  </si>
  <si>
    <t>Denmark</t>
  </si>
  <si>
    <t>Copenhagen Airport</t>
  </si>
  <si>
    <t>CPH</t>
  </si>
  <si>
    <t>Cape Town</t>
  </si>
  <si>
    <t>South Africa</t>
  </si>
  <si>
    <t>Cape Town International Airport</t>
  </si>
  <si>
    <t>CPT</t>
  </si>
  <si>
    <t>Clark</t>
  </si>
  <si>
    <t>Clark International Airport, Manila Angeles City</t>
  </si>
  <si>
    <t>CRK</t>
  </si>
  <si>
    <t>Dhaka</t>
  </si>
  <si>
    <t>Bangladesh</t>
  </si>
  <si>
    <t>Hazrat Shahjalal International Airport</t>
  </si>
  <si>
    <t>DAC</t>
  </si>
  <si>
    <t>Dar Es Salaam</t>
  </si>
  <si>
    <t>Tanzania</t>
  </si>
  <si>
    <t>Dar Es Salaam International Airport</t>
  </si>
  <si>
    <t>DAR</t>
  </si>
  <si>
    <t>New Delhi</t>
  </si>
  <si>
    <t>Indira Gandhi International Airport</t>
  </si>
  <si>
    <t>DEL</t>
  </si>
  <si>
    <t>Dallas</t>
  </si>
  <si>
    <t>Dallas/Fort Worth International Airport</t>
  </si>
  <si>
    <t>DFW</t>
  </si>
  <si>
    <t>Moscow</t>
  </si>
  <si>
    <t>Russia</t>
  </si>
  <si>
    <t>Domodedovo Airport</t>
  </si>
  <si>
    <t>DME</t>
  </si>
  <si>
    <t>Dammam</t>
  </si>
  <si>
    <t>Saudi Arabia</t>
  </si>
  <si>
    <t>King Fahd International Airport</t>
  </si>
  <si>
    <t>DMM</t>
  </si>
  <si>
    <t>Bali</t>
  </si>
  <si>
    <t>Ngurah Rai International Airport</t>
  </si>
  <si>
    <t>DPS</t>
  </si>
  <si>
    <t>Dakar</t>
  </si>
  <si>
    <t>Senegal</t>
  </si>
  <si>
    <t>Dakar Blaise Diagne International Airport</t>
  </si>
  <si>
    <t>DSS</t>
  </si>
  <si>
    <t>Dublin</t>
  </si>
  <si>
    <t>Ireland</t>
  </si>
  <si>
    <t>Dublin Airport</t>
  </si>
  <si>
    <t>DUB</t>
  </si>
  <si>
    <t>Durban</t>
  </si>
  <si>
    <t>King Shaka International Airport</t>
  </si>
  <si>
    <t>DUR</t>
  </si>
  <si>
    <t>Düsseldorf</t>
  </si>
  <si>
    <t>Germany</t>
  </si>
  <si>
    <t>Düsseldorf Airport</t>
  </si>
  <si>
    <t>DUS</t>
  </si>
  <si>
    <t>Entebbe</t>
  </si>
  <si>
    <t>Uganda</t>
  </si>
  <si>
    <t>Entebbe Airport</t>
  </si>
  <si>
    <t>EBB</t>
  </si>
  <si>
    <t>Edinburgh</t>
  </si>
  <si>
    <t>Edinburgh Airport</t>
  </si>
  <si>
    <t>EDI</t>
  </si>
  <si>
    <t>New York</t>
  </si>
  <si>
    <t>Newark Liberty International Airport</t>
  </si>
  <si>
    <t>EWR</t>
  </si>
  <si>
    <t>Buenos Aires</t>
  </si>
  <si>
    <t>Argentina</t>
  </si>
  <si>
    <t>Ministro Pistarini International Airport</t>
  </si>
  <si>
    <t>EZE</t>
  </si>
  <si>
    <t>Rome</t>
  </si>
  <si>
    <t>Fiumicino Airport</t>
  </si>
  <si>
    <t>FCO</t>
  </si>
  <si>
    <t>Frankfurt am Main</t>
  </si>
  <si>
    <t>Rhein-Main International Airport</t>
  </si>
  <si>
    <t>FRA</t>
  </si>
  <si>
    <t>Rio de Janeiro</t>
  </si>
  <si>
    <t>Brazil</t>
  </si>
  <si>
    <t>Antônio Carlos Jobim International Airport (Galeão)</t>
  </si>
  <si>
    <t>GIG</t>
  </si>
  <si>
    <t>Glasgow</t>
  </si>
  <si>
    <t>Glasgow International Airport</t>
  </si>
  <si>
    <t>GLA</t>
  </si>
  <si>
    <t>São Paulo</t>
  </si>
  <si>
    <t>Guarulhos International Airport</t>
  </si>
  <si>
    <t>GRU</t>
  </si>
  <si>
    <t>Geneva</t>
  </si>
  <si>
    <t>Switzerland</t>
  </si>
  <si>
    <t>Geneva International Airport</t>
  </si>
  <si>
    <t>GVA</t>
  </si>
  <si>
    <t>Hamburg</t>
  </si>
  <si>
    <t>Hamburg Airport</t>
  </si>
  <si>
    <t>HAM</t>
  </si>
  <si>
    <t>Hanoi</t>
  </si>
  <si>
    <t>Vietnam</t>
  </si>
  <si>
    <t>Noi Bai International Airport</t>
  </si>
  <si>
    <t>HAN</t>
  </si>
  <si>
    <t>Hong Kong</t>
  </si>
  <si>
    <t>Hong Kong, China</t>
  </si>
  <si>
    <t>Hong Kong International Airport</t>
  </si>
  <si>
    <t>HKG</t>
  </si>
  <si>
    <t>Phuket</t>
  </si>
  <si>
    <t>Phuket International Airport</t>
  </si>
  <si>
    <t>HKT</t>
  </si>
  <si>
    <t>Tokyo</t>
  </si>
  <si>
    <t>Japan</t>
  </si>
  <si>
    <t>Tokyo Haneda Airport</t>
  </si>
  <si>
    <t>HND</t>
  </si>
  <si>
    <t>Harare</t>
  </si>
  <si>
    <t>Zimbabwe</t>
  </si>
  <si>
    <t>Robert Gabriel Mugabe International Airport</t>
  </si>
  <si>
    <t>HRE</t>
  </si>
  <si>
    <t>Hyderabad</t>
  </si>
  <si>
    <t>Rajiv Gandhi Airport</t>
  </si>
  <si>
    <t>HYD</t>
  </si>
  <si>
    <t>Washington</t>
  </si>
  <si>
    <t>Dulles International Airport</t>
  </si>
  <si>
    <t>IAD</t>
  </si>
  <si>
    <t>Houston</t>
  </si>
  <si>
    <t>George Bush Intercontinental Airport</t>
  </si>
  <si>
    <t>IAH</t>
  </si>
  <si>
    <t>Seoul</t>
  </si>
  <si>
    <t>South Korea</t>
  </si>
  <si>
    <t>Incheon International Airport</t>
  </si>
  <si>
    <t>ICN</t>
  </si>
  <si>
    <t>Tehran</t>
  </si>
  <si>
    <t>Iran</t>
  </si>
  <si>
    <t>Imam Khomeini International Airport</t>
  </si>
  <si>
    <t>IKA</t>
  </si>
  <si>
    <t>Islamabad</t>
  </si>
  <si>
    <t>Pakistan</t>
  </si>
  <si>
    <t>Islamabad International Airport</t>
  </si>
  <si>
    <t>ISB</t>
  </si>
  <si>
    <t>Istanbul</t>
  </si>
  <si>
    <t>Turkey</t>
  </si>
  <si>
    <t>Istanbul Airport</t>
  </si>
  <si>
    <t>IST</t>
  </si>
  <si>
    <t>Jeddah</t>
  </si>
  <si>
    <t>King Abdulaziz International Airport</t>
  </si>
  <si>
    <t>JED</t>
  </si>
  <si>
    <t>John F Kennedy International Airport</t>
  </si>
  <si>
    <t>JFK</t>
  </si>
  <si>
    <t>Johannesburg</t>
  </si>
  <si>
    <t>O R Tambo International Airport</t>
  </si>
  <si>
    <t>JNB</t>
  </si>
  <si>
    <t>Kabul</t>
  </si>
  <si>
    <t>Afghanistan</t>
  </si>
  <si>
    <t>Kabul International Airport</t>
  </si>
  <si>
    <t>KBL</t>
  </si>
  <si>
    <t>Karachi</t>
  </si>
  <si>
    <t>Quaid-E-Azam International Airport</t>
  </si>
  <si>
    <t>KHI</t>
  </si>
  <si>
    <t>Osaka</t>
  </si>
  <si>
    <t>Kansai International Airport</t>
  </si>
  <si>
    <t>KIX</t>
  </si>
  <si>
    <t>Khartoum</t>
  </si>
  <si>
    <t>Sudan</t>
  </si>
  <si>
    <t>Khartoum Civil Airport</t>
  </si>
  <si>
    <t>KRT</t>
  </si>
  <si>
    <t>Kuala Lumpur</t>
  </si>
  <si>
    <t>Malaysia</t>
  </si>
  <si>
    <t>Kuala Lumpur International Airport</t>
  </si>
  <si>
    <t>KUL</t>
  </si>
  <si>
    <t>Kuwait City</t>
  </si>
  <si>
    <t>Kuwait</t>
  </si>
  <si>
    <t>Kuwait International Airport</t>
  </si>
  <si>
    <t>KWI</t>
  </si>
  <si>
    <t>Luanda</t>
  </si>
  <si>
    <t>Angola</t>
  </si>
  <si>
    <t>4 de Fevereiro Airport</t>
  </si>
  <si>
    <t>LAD</t>
  </si>
  <si>
    <t>Los Angeles</t>
  </si>
  <si>
    <t>Los Angeles International Airport</t>
  </si>
  <si>
    <t>LAX</t>
  </si>
  <si>
    <t>Larnaca</t>
  </si>
  <si>
    <t>Cyprus</t>
  </si>
  <si>
    <t>Larnaca Airport</t>
  </si>
  <si>
    <t>LCA</t>
  </si>
  <si>
    <t>St Petersburg</t>
  </si>
  <si>
    <t>Pulkovo International Airport</t>
  </si>
  <si>
    <t>LED</t>
  </si>
  <si>
    <t>London</t>
  </si>
  <si>
    <t>London Gatwick Airport</t>
  </si>
  <si>
    <t>LGW</t>
  </si>
  <si>
    <t>Lahore</t>
  </si>
  <si>
    <t>Alama Iqbal International Airport</t>
  </si>
  <si>
    <t>LHE</t>
  </si>
  <si>
    <t>London Heathrow Airport</t>
  </si>
  <si>
    <t>LHR</t>
  </si>
  <si>
    <t>Lisbon</t>
  </si>
  <si>
    <t>Portugal</t>
  </si>
  <si>
    <t>Lisbon General Humberto Delgado Airport</t>
  </si>
  <si>
    <t>LIS</t>
  </si>
  <si>
    <t>Lagos</t>
  </si>
  <si>
    <t>Murtala Muhammed Airport</t>
  </si>
  <si>
    <t>LOS</t>
  </si>
  <si>
    <t>Lusaka</t>
  </si>
  <si>
    <t>Zambia</t>
  </si>
  <si>
    <t>Kenneth Kaunda International Airport</t>
  </si>
  <si>
    <t>LUN</t>
  </si>
  <si>
    <t>Lyon</t>
  </si>
  <si>
    <t>Lyon-Saint Exupéry Airport</t>
  </si>
  <si>
    <t>LYS</t>
  </si>
  <si>
    <t>Chennai</t>
  </si>
  <si>
    <t>Chennai International Airport</t>
  </si>
  <si>
    <t>MAA</t>
  </si>
  <si>
    <t>Madrid</t>
  </si>
  <si>
    <t>Madrid-Barajas Airport</t>
  </si>
  <si>
    <t>MAD</t>
  </si>
  <si>
    <t>Manchester</t>
  </si>
  <si>
    <t>Manchester International Airport</t>
  </si>
  <si>
    <t>MAN</t>
  </si>
  <si>
    <t>Orlando</t>
  </si>
  <si>
    <t>Orlando International Airport</t>
  </si>
  <si>
    <t>MCO</t>
  </si>
  <si>
    <t>Muscat</t>
  </si>
  <si>
    <t>Oman</t>
  </si>
  <si>
    <t>Muscat International Airport</t>
  </si>
  <si>
    <t>MCT</t>
  </si>
  <si>
    <t>Medina</t>
  </si>
  <si>
    <t>Prince Mohammad Bin Abdulaziz Airport</t>
  </si>
  <si>
    <t>MED</t>
  </si>
  <si>
    <t>Melbourne</t>
  </si>
  <si>
    <t>Melbourne Tullamarine Airport</t>
  </si>
  <si>
    <t>MEL</t>
  </si>
  <si>
    <t>Mexico City</t>
  </si>
  <si>
    <t>Mexico</t>
  </si>
  <si>
    <t>Mexico City International Airport</t>
  </si>
  <si>
    <t>MEX</t>
  </si>
  <si>
    <t>Miami</t>
  </si>
  <si>
    <t>Miami International Airport</t>
  </si>
  <si>
    <t>MIA</t>
  </si>
  <si>
    <t>Malta</t>
  </si>
  <si>
    <t>Malta International Airport</t>
  </si>
  <si>
    <t>MLA</t>
  </si>
  <si>
    <t>Malé</t>
  </si>
  <si>
    <t>Maldives</t>
  </si>
  <si>
    <t>Velana International Airport</t>
  </si>
  <si>
    <t>MLE</t>
  </si>
  <si>
    <t>Manila</t>
  </si>
  <si>
    <t>Ninoy Aquino International Airport</t>
  </si>
  <si>
    <t>MNL</t>
  </si>
  <si>
    <t>Mauritius</t>
  </si>
  <si>
    <t>Sir Seewoosagur Ramgoolam International Airport</t>
  </si>
  <si>
    <t>MRU</t>
  </si>
  <si>
    <t>Munich</t>
  </si>
  <si>
    <t>Franz Josef Strauss Airport</t>
  </si>
  <si>
    <t>MUC</t>
  </si>
  <si>
    <t>Milan</t>
  </si>
  <si>
    <t>Malpensa Airport</t>
  </si>
  <si>
    <t>MXP</t>
  </si>
  <si>
    <t>Nairobi</t>
  </si>
  <si>
    <t>Kenya</t>
  </si>
  <si>
    <t>Jomo Kenyatta International Airport</t>
  </si>
  <si>
    <t>NBO</t>
  </si>
  <si>
    <t>Nice</t>
  </si>
  <si>
    <t>Cote d'Azur International Airport</t>
  </si>
  <si>
    <t>NCE</t>
  </si>
  <si>
    <t>Newcastle</t>
  </si>
  <si>
    <t>Newcastle Airport</t>
  </si>
  <si>
    <t>NCL</t>
  </si>
  <si>
    <t>Tokyo Narita International Airport</t>
  </si>
  <si>
    <t>NRT</t>
  </si>
  <si>
    <t>Porto</t>
  </si>
  <si>
    <t>Porto Francisco Sá Carneiro Airport</t>
  </si>
  <si>
    <t>OPO</t>
  </si>
  <si>
    <t>Chicago</t>
  </si>
  <si>
    <t>O'Hare International Airport</t>
  </si>
  <si>
    <t>ORD</t>
  </si>
  <si>
    <t>Oslo</t>
  </si>
  <si>
    <t>Norway</t>
  </si>
  <si>
    <t>Gardermoen Airport</t>
  </si>
  <si>
    <t>OSL</t>
  </si>
  <si>
    <t>Beijing</t>
  </si>
  <si>
    <t>Beijing Capital Airport</t>
  </si>
  <si>
    <t>PEK</t>
  </si>
  <si>
    <t>Perth</t>
  </si>
  <si>
    <t>Perth Airport</t>
  </si>
  <si>
    <t>PER</t>
  </si>
  <si>
    <t>Peshawar</t>
  </si>
  <si>
    <t>Bacha Khan International Airport</t>
  </si>
  <si>
    <t>PEW</t>
  </si>
  <si>
    <t>Phnom Penh</t>
  </si>
  <si>
    <t>Cambodia</t>
  </si>
  <si>
    <t>Phnom Penh International Airport</t>
  </si>
  <si>
    <t>PNH</t>
  </si>
  <si>
    <t>Prague</t>
  </si>
  <si>
    <t>Czech Republic</t>
  </si>
  <si>
    <t>Václav Havel Airport</t>
  </si>
  <si>
    <t>PRG</t>
  </si>
  <si>
    <t>Shanghai</t>
  </si>
  <si>
    <t>Pudong International Airport</t>
  </si>
  <si>
    <t>PVG</t>
  </si>
  <si>
    <t>Riyadh</t>
  </si>
  <si>
    <t>King Khalid International Airport</t>
  </si>
  <si>
    <t>RUH</t>
  </si>
  <si>
    <t>Istanbul Sabiha Gokcen International Airport</t>
  </si>
  <si>
    <t>SAW</t>
  </si>
  <si>
    <t>Seattle</t>
  </si>
  <si>
    <t>Seattle-Tacoma international Airport</t>
  </si>
  <si>
    <t>SEA</t>
  </si>
  <si>
    <t>Seychelles</t>
  </si>
  <si>
    <t>Seychelles International Airport</t>
  </si>
  <si>
    <t>SEZ</t>
  </si>
  <si>
    <t>San Francisco</t>
  </si>
  <si>
    <t>San Francisco International Airport</t>
  </si>
  <si>
    <t>SFO</t>
  </si>
  <si>
    <t>Ho Chi Minh City</t>
  </si>
  <si>
    <t>Tan Son Nhat International Airport</t>
  </si>
  <si>
    <t>SGN</t>
  </si>
  <si>
    <t>Singapore</t>
  </si>
  <si>
    <t>Changi Airport</t>
  </si>
  <si>
    <t>SIN</t>
  </si>
  <si>
    <t>Sialkot</t>
  </si>
  <si>
    <t>Sialkot International Airport</t>
  </si>
  <si>
    <t>SKT</t>
  </si>
  <si>
    <t>London Stansted</t>
  </si>
  <si>
    <t>STN</t>
  </si>
  <si>
    <t>Sydney</t>
  </si>
  <si>
    <t>Kingsford Smith Airport</t>
  </si>
  <si>
    <t>SYD</t>
  </si>
  <si>
    <t>Tel Aviv</t>
  </si>
  <si>
    <t>Israel</t>
  </si>
  <si>
    <t>Tel Aviv Ben Gurion International Airport</t>
  </si>
  <si>
    <t>TLV</t>
  </si>
  <si>
    <t>Taipei</t>
  </si>
  <si>
    <t>Taiwan</t>
  </si>
  <si>
    <t>Taiwan Taoyuan International Airport</t>
  </si>
  <si>
    <t>TPE</t>
  </si>
  <si>
    <t>Thiruvananthapuram</t>
  </si>
  <si>
    <t>Thiruvananthapuram International Airport</t>
  </si>
  <si>
    <t>TRV</t>
  </si>
  <si>
    <t>Tunis</t>
  </si>
  <si>
    <t>Tunisia</t>
  </si>
  <si>
    <t>Carthage Airport</t>
  </si>
  <si>
    <t>TUN</t>
  </si>
  <si>
    <t>Venice</t>
  </si>
  <si>
    <t>Marco Polo Airport</t>
  </si>
  <si>
    <t>VCE</t>
  </si>
  <si>
    <t>Vienna</t>
  </si>
  <si>
    <t>Austria</t>
  </si>
  <si>
    <t>Vienna International Airport</t>
  </si>
  <si>
    <t>VIE</t>
  </si>
  <si>
    <t>Warsaw</t>
  </si>
  <si>
    <t>Poland</t>
  </si>
  <si>
    <t>Warsaw Frédéric Chopin Airport</t>
  </si>
  <si>
    <t>WAW</t>
  </si>
  <si>
    <t>Toronto</t>
  </si>
  <si>
    <t>Canada</t>
  </si>
  <si>
    <t>Pearson International Airport</t>
  </si>
  <si>
    <t>YYZ</t>
  </si>
  <si>
    <t>Zagreb</t>
  </si>
  <si>
    <t>Croatia</t>
  </si>
  <si>
    <t>Zagreb Airport</t>
  </si>
  <si>
    <t>ZAG</t>
  </si>
  <si>
    <t>Zürich</t>
  </si>
  <si>
    <t>Zürich-Kloten Airport</t>
  </si>
  <si>
    <t>ZRH</t>
  </si>
  <si>
    <t>Sheikh Mohammed bin Rashid al Maktoum, then UAE Minister of Defence and a member of Dubai’s progressive royal family, asked Sir Maurice Flanagan, then managing director of dnata, to look into starting an airline. By December that year, with the new business plan, the name “Emirates” was chosen</t>
  </si>
  <si>
    <t>In March 1985, Maurice Flanagan was tasked with the ambitious mission to launch an airline in 5 months with $10 million seed funding. He was told,
1. The airline had to “look good, be good, and make money”
2. There would be no subsidies or aeropolitical protection under Dubai’s open skies policy
3. No more funding</t>
  </si>
  <si>
    <t>On 25 October 1985, Emirates operated its flights from Dubai to Karachi and Mumbai, using a Boeing 737 and an Airbus 300 B4 wet‑leased from Pakistan International Airlines.</t>
  </si>
  <si>
    <t>On 3 July 1987, A6-EKA flew from Toulouse to Dubai as Emirates took delivery of its first owned aircraft, an Airbus A310-304.</t>
  </si>
  <si>
    <t>Emirates leads the way for inflight entertainment, becoming the first airline to install video systems in all seats, in every cabin class throughout its fleet.</t>
  </si>
  <si>
    <t>Order for the first 7 Boeing 777s order makes global headlines as it signalled its ambitions was a vote of confidence for the industry hard hit by the first Gulf War.</t>
  </si>
  <si>
    <t>Emirates becomes the first airline to sign up for the Airbus A380, ordering seven. The world’s largest commercial aircraft will become a flagship of the Emirates fleet over the next two decades.</t>
  </si>
  <si>
    <t>Emirates made the largest order in history for 42 Boeing 777s in a deal worth of $9.7 billion. Today, Emirates is the world’s biggest operator of 777 aircraft.</t>
  </si>
  <si>
    <t>Emirates is named the World’s Best Airline and receives 12th consecutive award for best In‑flight Entertainment at Skytrax World Airline Awards 2016.</t>
  </si>
  <si>
    <t>Emirates breaks world record with 540 volunteer passengers from 145 nationalities on a flight for UAE National Day and Year of Tolerance.</t>
  </si>
  <si>
    <t>The Emirates Pavilion opens its doors to visitors at Expo 2020 Dubai, showcasing the future of commercial aviation.</t>
  </si>
  <si>
    <t>Emirates unveils third and new signature livery for its fleet</t>
  </si>
  <si>
    <t>Year</t>
  </si>
  <si>
    <t>Event</t>
  </si>
  <si>
    <t>Million passengers flown in 2021-2022</t>
  </si>
  <si>
    <t>Destinations</t>
  </si>
  <si>
    <t>Fleet size</t>
  </si>
  <si>
    <t>Nationalities</t>
  </si>
  <si>
    <t>Employees (as of 31 March 2022)</t>
  </si>
  <si>
    <t>Fleet</t>
  </si>
  <si>
    <t>A380</t>
  </si>
  <si>
    <t>Boeing 777</t>
  </si>
  <si>
    <t>Emirates Executive</t>
  </si>
  <si>
    <t>Description</t>
  </si>
  <si>
    <t>Total Aircraft</t>
  </si>
  <si>
    <t>Airports visited</t>
  </si>
  <si>
    <t>Million passengers since 2008</t>
  </si>
  <si>
    <t>longest Emirates A380 flight (DXB - AKL)</t>
  </si>
  <si>
    <t>14,193 km</t>
  </si>
  <si>
    <t>shortest Emirates A380 flight (DXB - JED)</t>
  </si>
  <si>
    <t>1,700 km</t>
  </si>
  <si>
    <t>km flown</t>
  </si>
  <si>
    <t>1 billion +</t>
  </si>
  <si>
    <t>return flights</t>
  </si>
  <si>
    <t>weighs between 510 and 575 tonnes</t>
  </si>
  <si>
    <t>is as long as 2 blue whales and as tall as 5 giraffes</t>
  </si>
  <si>
    <t>has 4 million parts</t>
  </si>
  <si>
    <t>Seat capacity</t>
  </si>
  <si>
    <t>4 Class (ultra long-range) - 484 seats</t>
  </si>
  <si>
    <t>3 Class (long-range) - 517 seats</t>
  </si>
  <si>
    <t>3 Class (ultra long-range) - 489 seats</t>
  </si>
  <si>
    <t>2 Class (long-range) - 615 seats</t>
  </si>
  <si>
    <t>Maximum range</t>
  </si>
  <si>
    <t>8,000 nautical miles / 15,000 kilometer</t>
  </si>
  <si>
    <t>Fact 1</t>
  </si>
  <si>
    <t>Fact 2</t>
  </si>
  <si>
    <t>Fact 3</t>
  </si>
  <si>
    <t>Boeing 777 in our fleet</t>
  </si>
  <si>
    <t>Boeing 777X pending delivery</t>
  </si>
  <si>
    <t>destinations</t>
  </si>
  <si>
    <t>continents visited</t>
  </si>
  <si>
    <t>million passengers since 2004</t>
  </si>
  <si>
    <t>longest Boeing 777 flight (DXB - DFW)</t>
  </si>
  <si>
    <t>12,940 km</t>
  </si>
  <si>
    <t>shortest Boeing 777 flight (DXB - MCT)</t>
  </si>
  <si>
    <t>349 km</t>
  </si>
  <si>
    <t>departures since 2004</t>
  </si>
  <si>
    <t>1 million +</t>
  </si>
  <si>
    <t>is the world's largest twin-engine jet</t>
  </si>
  <si>
    <t>is also called Boeing's seventh wonder</t>
  </si>
  <si>
    <t>has 3 million parts provided by more than 900 suppliers</t>
  </si>
  <si>
    <t>B777-300ER</t>
  </si>
  <si>
    <t>B777-200LR</t>
  </si>
  <si>
    <t>3 class - 364 / 358 / 354 seats</t>
  </si>
  <si>
    <t>2 class - 427 / 442 seats</t>
  </si>
  <si>
    <t>2 class - 302 seats</t>
  </si>
  <si>
    <t>7,880 nautical miles / 14,594 kilometers</t>
  </si>
  <si>
    <t>9,420 nautical miles / 17,446 kilometers</t>
  </si>
  <si>
    <t>Destination City</t>
  </si>
  <si>
    <t>Destination Country</t>
  </si>
  <si>
    <t>Origin City</t>
  </si>
  <si>
    <t>Dubai</t>
  </si>
  <si>
    <t>Destination Latitude</t>
  </si>
  <si>
    <t>Destination Longitude</t>
  </si>
  <si>
    <t>Origin Latitude</t>
  </si>
  <si>
    <t>Origin Longitude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</si>
</sst>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color rgb="FF666666"/>
      <name val="Calibri"/>
      <family val="2"/>
      <scheme val="minor"/>
    </font>
    <font>
      <sz val="10"/>
      <color rgb="FF333333"/>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applyAlignment="1">
      <alignment horizontal="left" vertical="center" wrapText="1"/>
    </xf>
    <xf numFmtId="0" fontId="2" fillId="0" borderId="0" xfId="0" applyFont="1" applyAlignment="1">
      <alignment horizontal="left" vertical="center" wrapText="1"/>
    </xf>
    <xf numFmtId="0" fontId="3" fillId="0" borderId="0" xfId="0" applyFont="1" applyAlignment="1">
      <alignment horizontal="left" vertical="center" wrapText="1"/>
    </xf>
    <xf numFmtId="0" fontId="0" fillId="0" borderId="0" xfId="0" applyAlignment="1">
      <alignment wrapText="1"/>
    </xf>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27BBB-43EB-412C-8888-37D07A850564}">
  <sheetPr codeName="Sheet1"/>
  <dimension ref="A1:I142"/>
  <sheetViews>
    <sheetView tabSelected="1" workbookViewId="0">
      <selection activeCell="E7" sqref="E7"/>
    </sheetView>
  </sheetViews>
  <sheetFormatPr defaultRowHeight="14.4" x14ac:dyDescent="0.3"/>
  <cols>
    <col min="1" max="2" width="12.109375" customWidth="1"/>
    <col min="3" max="3" width="17.44140625" customWidth="1"/>
    <col min="4" max="4" width="14.5546875" customWidth="1"/>
    <col min="5" max="5" width="15.109375" customWidth="1"/>
    <col min="8" max="8" width="19.6640625" customWidth="1"/>
    <col min="9" max="9" width="18.33203125" customWidth="1"/>
  </cols>
  <sheetData>
    <row r="1" spans="1:9" x14ac:dyDescent="0.3">
      <c r="A1" t="s">
        <v>562</v>
      </c>
      <c r="B1" t="s">
        <v>566</v>
      </c>
      <c r="C1" t="s">
        <v>567</v>
      </c>
      <c r="D1" t="s">
        <v>560</v>
      </c>
      <c r="E1" t="s">
        <v>561</v>
      </c>
      <c r="F1" t="s">
        <v>0</v>
      </c>
      <c r="G1" t="s">
        <v>1</v>
      </c>
      <c r="H1" t="s">
        <v>564</v>
      </c>
      <c r="I1" t="s">
        <v>565</v>
      </c>
    </row>
    <row r="2" spans="1:9" x14ac:dyDescent="0.3">
      <c r="A2" t="s">
        <v>563</v>
      </c>
      <c r="B2" cm="1">
        <f t="array" ref="B2">GetLatitude(A2)</f>
        <v>25.204849299999999</v>
      </c>
      <c r="C2" cm="1">
        <f t="array" ref="C2">GetLongitude(A2)</f>
        <v>55.270782799999999</v>
      </c>
      <c r="D2" t="s">
        <v>2</v>
      </c>
      <c r="E2" t="s">
        <v>3</v>
      </c>
      <c r="F2" t="s">
        <v>4</v>
      </c>
      <c r="G2" t="s">
        <v>5</v>
      </c>
      <c r="H2" cm="1">
        <f t="array" ref="H2">GetLatitude(D2)</f>
        <v>5.3599516999999999</v>
      </c>
      <c r="I2" cm="1">
        <f t="array" ref="I2">GetLongitude(D2)</f>
        <v>-4.0082563000000002</v>
      </c>
    </row>
    <row r="3" spans="1:9" x14ac:dyDescent="0.3">
      <c r="A3" t="s">
        <v>563</v>
      </c>
      <c r="B3" cm="1">
        <f t="array" ref="B3">GetLatitude(A3)</f>
        <v>25.204849299999999</v>
      </c>
      <c r="C3" cm="1">
        <f t="array" ref="C3">GetLongitude(A3)</f>
        <v>55.270782799999999</v>
      </c>
      <c r="D3" t="s">
        <v>6</v>
      </c>
      <c r="E3" t="s">
        <v>7</v>
      </c>
      <c r="F3" t="s">
        <v>8</v>
      </c>
      <c r="G3" t="s">
        <v>9</v>
      </c>
      <c r="H3" cm="1">
        <f t="array" ref="H3">GetLatitude(D3)</f>
        <v>9.0764785000000003</v>
      </c>
      <c r="I3" cm="1">
        <f t="array" ref="I3">GetLongitude(D3)</f>
        <v>7.398574</v>
      </c>
    </row>
    <row r="4" spans="1:9" x14ac:dyDescent="0.3">
      <c r="A4" t="s">
        <v>563</v>
      </c>
      <c r="B4">
        <v>25.204849299999999</v>
      </c>
      <c r="C4">
        <v>55.270782799999999</v>
      </c>
      <c r="D4" t="s">
        <v>10</v>
      </c>
      <c r="E4" t="s">
        <v>11</v>
      </c>
      <c r="F4" t="s">
        <v>12</v>
      </c>
      <c r="G4" t="s">
        <v>13</v>
      </c>
      <c r="H4" cm="1">
        <f t="array" ref="H4">GetLatitude(D4)</f>
        <v>5.6037167999999999</v>
      </c>
      <c r="I4" cm="1">
        <f t="array" ref="I4">GetLongitude(D4)</f>
        <v>-0.1869644</v>
      </c>
    </row>
    <row r="5" spans="1:9" x14ac:dyDescent="0.3">
      <c r="A5" t="s">
        <v>563</v>
      </c>
      <c r="B5">
        <v>25.204849299999999</v>
      </c>
      <c r="C5">
        <v>55.270782799999999</v>
      </c>
      <c r="D5" t="s">
        <v>14</v>
      </c>
      <c r="E5" t="s">
        <v>15</v>
      </c>
      <c r="F5" t="s">
        <v>16</v>
      </c>
      <c r="G5" t="s">
        <v>17</v>
      </c>
      <c r="H5" cm="1">
        <f t="array" ref="H5">GetLatitude(D5)</f>
        <v>8.9806033999999997</v>
      </c>
      <c r="I5" cm="1">
        <f t="array" ref="I5">GetLongitude(D5)</f>
        <v>38.757760500000003</v>
      </c>
    </row>
    <row r="6" spans="1:9" x14ac:dyDescent="0.3">
      <c r="A6" t="s">
        <v>563</v>
      </c>
      <c r="B6">
        <v>25.204849299999999</v>
      </c>
      <c r="C6">
        <v>55.270782799999999</v>
      </c>
      <c r="D6" t="s">
        <v>18</v>
      </c>
      <c r="E6" t="s">
        <v>19</v>
      </c>
      <c r="F6" t="s">
        <v>20</v>
      </c>
      <c r="G6" t="s">
        <v>21</v>
      </c>
      <c r="H6" cm="1">
        <f t="array" ref="H6">GetLatitude(D6)</f>
        <v>-36.8508827</v>
      </c>
      <c r="I6" cm="1">
        <f t="array" ref="I6">GetLongitude(D6)</f>
        <v>174.76448809999999</v>
      </c>
    </row>
    <row r="7" spans="1:9" x14ac:dyDescent="0.3">
      <c r="A7" t="s">
        <v>563</v>
      </c>
      <c r="B7">
        <v>25.204849299999999</v>
      </c>
      <c r="C7">
        <v>55.270782799999999</v>
      </c>
      <c r="D7" t="s">
        <v>22</v>
      </c>
      <c r="E7" t="s">
        <v>23</v>
      </c>
      <c r="F7" t="s">
        <v>24</v>
      </c>
      <c r="G7" t="s">
        <v>25</v>
      </c>
      <c r="H7" cm="1">
        <f t="array" ref="H7">GetLatitude(D7)</f>
        <v>36.753768000000001</v>
      </c>
      <c r="I7" cm="1">
        <f t="array" ref="I7">GetLongitude(D7)</f>
        <v>3.0587561000000001</v>
      </c>
    </row>
    <row r="8" spans="1:9" x14ac:dyDescent="0.3">
      <c r="A8" t="s">
        <v>563</v>
      </c>
      <c r="B8">
        <v>25.204849299999999</v>
      </c>
      <c r="C8">
        <v>55.270782799999999</v>
      </c>
      <c r="D8" t="s">
        <v>26</v>
      </c>
      <c r="E8" t="s">
        <v>27</v>
      </c>
      <c r="F8" t="s">
        <v>28</v>
      </c>
      <c r="G8" t="s">
        <v>29</v>
      </c>
      <c r="H8" cm="1">
        <f t="array" ref="H8">GetLatitude(D8)</f>
        <v>23.022504999999999</v>
      </c>
      <c r="I8" cm="1">
        <f t="array" ref="I8">GetLongitude(D8)</f>
        <v>72.571362100000002</v>
      </c>
    </row>
    <row r="9" spans="1:9" x14ac:dyDescent="0.3">
      <c r="A9" t="s">
        <v>563</v>
      </c>
      <c r="B9">
        <v>25.204849299999999</v>
      </c>
      <c r="C9">
        <v>55.270782799999999</v>
      </c>
      <c r="D9" t="s">
        <v>30</v>
      </c>
      <c r="E9" t="s">
        <v>31</v>
      </c>
      <c r="F9" t="s">
        <v>32</v>
      </c>
      <c r="G9" t="s">
        <v>33</v>
      </c>
      <c r="H9" cm="1">
        <f t="array" ref="H9">GetLatitude(D9)</f>
        <v>31.953949399999999</v>
      </c>
      <c r="I9" cm="1">
        <f t="array" ref="I9">GetLongitude(D9)</f>
        <v>35.910634999999999</v>
      </c>
    </row>
    <row r="10" spans="1:9" x14ac:dyDescent="0.3">
      <c r="A10" t="s">
        <v>563</v>
      </c>
      <c r="B10">
        <v>25.204849299999999</v>
      </c>
      <c r="C10">
        <v>55.270782799999999</v>
      </c>
      <c r="D10" t="s">
        <v>34</v>
      </c>
      <c r="E10" t="s">
        <v>35</v>
      </c>
      <c r="F10" t="s">
        <v>36</v>
      </c>
      <c r="G10" t="s">
        <v>37</v>
      </c>
      <c r="H10" cm="1">
        <f t="array" ref="H10">GetLatitude(D10)</f>
        <v>52.367573399999998</v>
      </c>
      <c r="I10" cm="1">
        <f t="array" ref="I10">GetLongitude(D10)</f>
        <v>4.9041389000000004</v>
      </c>
    </row>
    <row r="11" spans="1:9" x14ac:dyDescent="0.3">
      <c r="A11" t="s">
        <v>563</v>
      </c>
      <c r="B11">
        <v>25.204849299999999</v>
      </c>
      <c r="C11">
        <v>55.270782799999999</v>
      </c>
      <c r="D11" t="s">
        <v>38</v>
      </c>
      <c r="E11" t="s">
        <v>39</v>
      </c>
      <c r="F11" t="s">
        <v>40</v>
      </c>
      <c r="G11" t="s">
        <v>41</v>
      </c>
      <c r="H11" cm="1">
        <f t="array" ref="H11">GetLatitude(D11)</f>
        <v>59.329323500000001</v>
      </c>
      <c r="I11" cm="1">
        <f t="array" ref="I11">GetLongitude(D11)</f>
        <v>18.068580799999999</v>
      </c>
    </row>
    <row r="12" spans="1:9" x14ac:dyDescent="0.3">
      <c r="A12" t="s">
        <v>563</v>
      </c>
      <c r="B12">
        <v>25.204849299999999</v>
      </c>
      <c r="C12">
        <v>55.270782799999999</v>
      </c>
      <c r="D12" t="s">
        <v>42</v>
      </c>
      <c r="E12" t="s">
        <v>43</v>
      </c>
      <c r="F12" t="s">
        <v>44</v>
      </c>
      <c r="G12" t="s">
        <v>45</v>
      </c>
      <c r="H12" cm="1">
        <f t="array" ref="H12">GetLatitude(D12)</f>
        <v>37.983809600000001</v>
      </c>
      <c r="I12" cm="1">
        <f t="array" ref="I12">GetLongitude(D12)</f>
        <v>23.727538800000001</v>
      </c>
    </row>
    <row r="13" spans="1:9" x14ac:dyDescent="0.3">
      <c r="A13" t="s">
        <v>563</v>
      </c>
      <c r="B13">
        <v>25.204849299999999</v>
      </c>
      <c r="C13">
        <v>55.270782799999999</v>
      </c>
      <c r="D13" t="s">
        <v>46</v>
      </c>
      <c r="E13" t="s">
        <v>46</v>
      </c>
      <c r="F13" t="s">
        <v>47</v>
      </c>
      <c r="G13" t="s">
        <v>48</v>
      </c>
      <c r="H13" cm="1">
        <f t="array" ref="H13">GetLatitude(D13)</f>
        <v>26.066700000000001</v>
      </c>
      <c r="I13" cm="1">
        <f t="array" ref="I13">GetLongitude(D13)</f>
        <v>50.557699999999997</v>
      </c>
    </row>
    <row r="14" spans="1:9" x14ac:dyDescent="0.3">
      <c r="A14" t="s">
        <v>563</v>
      </c>
      <c r="B14">
        <v>25.204849299999999</v>
      </c>
      <c r="C14">
        <v>55.270782799999999</v>
      </c>
      <c r="D14" t="s">
        <v>49</v>
      </c>
      <c r="E14" t="s">
        <v>50</v>
      </c>
      <c r="F14" t="s">
        <v>51</v>
      </c>
      <c r="G14" t="s">
        <v>52</v>
      </c>
      <c r="H14" cm="1">
        <f t="array" ref="H14">GetLatitude(D14)</f>
        <v>41.387397399999998</v>
      </c>
      <c r="I14" cm="1">
        <f t="array" ref="I14">GetLongitude(D14)</f>
        <v>2.1685680000000001</v>
      </c>
    </row>
    <row r="15" spans="1:9" x14ac:dyDescent="0.3">
      <c r="A15" t="s">
        <v>563</v>
      </c>
      <c r="B15">
        <v>25.204849299999999</v>
      </c>
      <c r="C15">
        <v>55.270782799999999</v>
      </c>
      <c r="D15" t="s">
        <v>53</v>
      </c>
      <c r="E15" t="s">
        <v>54</v>
      </c>
      <c r="F15" t="s">
        <v>55</v>
      </c>
      <c r="G15" t="s">
        <v>56</v>
      </c>
      <c r="H15" cm="1">
        <f t="array" ref="H15">GetLatitude(D15)</f>
        <v>33.893791299999997</v>
      </c>
      <c r="I15" cm="1">
        <f t="array" ref="I15">GetLongitude(D15)</f>
        <v>35.501776700000001</v>
      </c>
    </row>
    <row r="16" spans="1:9" x14ac:dyDescent="0.3">
      <c r="A16" t="s">
        <v>563</v>
      </c>
      <c r="B16">
        <v>25.204849299999999</v>
      </c>
      <c r="C16">
        <v>55.270782799999999</v>
      </c>
      <c r="D16" t="s">
        <v>57</v>
      </c>
      <c r="E16" t="s">
        <v>58</v>
      </c>
      <c r="F16" t="s">
        <v>59</v>
      </c>
      <c r="G16" t="s">
        <v>60</v>
      </c>
      <c r="H16" cm="1">
        <f t="array" ref="H16">GetLatitude(D16)</f>
        <v>33.315241</v>
      </c>
      <c r="I16" cm="1">
        <f t="array" ref="I16">GetLongitude(D16)</f>
        <v>44.366067100000002</v>
      </c>
    </row>
    <row r="17" spans="1:9" x14ac:dyDescent="0.3">
      <c r="A17" t="s">
        <v>563</v>
      </c>
      <c r="B17">
        <v>25.204849299999999</v>
      </c>
      <c r="C17">
        <v>55.270782799999999</v>
      </c>
      <c r="D17" t="s">
        <v>61</v>
      </c>
      <c r="E17" t="s">
        <v>62</v>
      </c>
      <c r="F17" t="s">
        <v>63</v>
      </c>
      <c r="G17" t="s">
        <v>64</v>
      </c>
      <c r="H17" cm="1">
        <f t="array" ref="H17">GetLatitude(D17)</f>
        <v>52.486243000000002</v>
      </c>
      <c r="I17" cm="1">
        <f t="array" ref="I17">GetLongitude(D17)</f>
        <v>-1.890401</v>
      </c>
    </row>
    <row r="18" spans="1:9" x14ac:dyDescent="0.3">
      <c r="A18" t="s">
        <v>563</v>
      </c>
      <c r="B18">
        <v>25.204849299999999</v>
      </c>
      <c r="C18">
        <v>55.270782799999999</v>
      </c>
      <c r="D18" t="s">
        <v>65</v>
      </c>
      <c r="E18" t="s">
        <v>66</v>
      </c>
      <c r="F18" t="s">
        <v>67</v>
      </c>
      <c r="G18" t="s">
        <v>68</v>
      </c>
      <c r="H18" cm="1">
        <f t="array" ref="H18">GetLatitude(D18)</f>
        <v>13.7563309</v>
      </c>
      <c r="I18" cm="1">
        <f t="array" ref="I18">GetLongitude(D18)</f>
        <v>100.5017651</v>
      </c>
    </row>
    <row r="19" spans="1:9" x14ac:dyDescent="0.3">
      <c r="A19" t="s">
        <v>563</v>
      </c>
      <c r="B19">
        <v>25.204849299999999</v>
      </c>
      <c r="C19">
        <v>55.270782799999999</v>
      </c>
      <c r="D19" t="s">
        <v>69</v>
      </c>
      <c r="E19" t="s">
        <v>70</v>
      </c>
      <c r="F19" t="s">
        <v>71</v>
      </c>
      <c r="G19" t="s">
        <v>72</v>
      </c>
      <c r="H19" cm="1">
        <f t="array" ref="H19">GetLatitude(D19)</f>
        <v>44.494886999999999</v>
      </c>
      <c r="I19" cm="1">
        <f t="array" ref="I19">GetLongitude(D19)</f>
        <v>11.3426163</v>
      </c>
    </row>
    <row r="20" spans="1:9" x14ac:dyDescent="0.3">
      <c r="A20" t="s">
        <v>563</v>
      </c>
      <c r="B20">
        <v>25.204849299999999</v>
      </c>
      <c r="C20">
        <v>55.270782799999999</v>
      </c>
      <c r="D20" t="s">
        <v>73</v>
      </c>
      <c r="E20" t="s">
        <v>27</v>
      </c>
      <c r="F20" t="s">
        <v>74</v>
      </c>
      <c r="G20" t="s">
        <v>75</v>
      </c>
      <c r="H20" cm="1">
        <f t="array" ref="H20">GetLatitude(D20)</f>
        <v>12.971598699999999</v>
      </c>
      <c r="I20" cm="1">
        <f t="array" ref="I20">GetLongitude(D20)</f>
        <v>77.594562699999997</v>
      </c>
    </row>
    <row r="21" spans="1:9" x14ac:dyDescent="0.3">
      <c r="A21" t="s">
        <v>563</v>
      </c>
      <c r="B21">
        <v>25.204849299999999</v>
      </c>
      <c r="C21">
        <v>55.270782799999999</v>
      </c>
      <c r="D21" t="s">
        <v>76</v>
      </c>
      <c r="E21" t="s">
        <v>77</v>
      </c>
      <c r="F21" t="s">
        <v>78</v>
      </c>
      <c r="G21" t="s">
        <v>79</v>
      </c>
      <c r="H21" cm="1">
        <f t="array" ref="H21">GetLatitude(D21)</f>
        <v>-27.4704528</v>
      </c>
      <c r="I21" cm="1">
        <f t="array" ref="I21">GetLongitude(D21)</f>
        <v>153.0260341</v>
      </c>
    </row>
    <row r="22" spans="1:9" x14ac:dyDescent="0.3">
      <c r="A22" t="s">
        <v>563</v>
      </c>
      <c r="B22">
        <v>25.204849299999999</v>
      </c>
      <c r="C22">
        <v>55.270782799999999</v>
      </c>
      <c r="D22" t="s">
        <v>80</v>
      </c>
      <c r="E22" t="s">
        <v>27</v>
      </c>
      <c r="F22" t="s">
        <v>81</v>
      </c>
      <c r="G22" t="s">
        <v>82</v>
      </c>
      <c r="H22" cm="1">
        <f t="array" ref="H22">GetLatitude(D22)</f>
        <v>19.075983699999998</v>
      </c>
      <c r="I22" cm="1">
        <f t="array" ref="I22">GetLongitude(D22)</f>
        <v>72.877655899999993</v>
      </c>
    </row>
    <row r="23" spans="1:9" x14ac:dyDescent="0.3">
      <c r="A23" t="s">
        <v>563</v>
      </c>
      <c r="B23">
        <v>25.204849299999999</v>
      </c>
      <c r="C23">
        <v>55.270782799999999</v>
      </c>
      <c r="D23" t="s">
        <v>83</v>
      </c>
      <c r="E23" t="s">
        <v>84</v>
      </c>
      <c r="F23" t="s">
        <v>85</v>
      </c>
      <c r="G23" t="s">
        <v>86</v>
      </c>
      <c r="H23" cm="1">
        <f t="array" ref="H23">GetLatitude(D23)</f>
        <v>42.360082499999997</v>
      </c>
      <c r="I23" cm="1">
        <f t="array" ref="I23">GetLongitude(D23)</f>
        <v>-71.058880099999996</v>
      </c>
    </row>
    <row r="24" spans="1:9" x14ac:dyDescent="0.3">
      <c r="A24" t="s">
        <v>563</v>
      </c>
      <c r="B24">
        <v>25.204849299999999</v>
      </c>
      <c r="C24">
        <v>55.270782799999999</v>
      </c>
      <c r="D24" t="s">
        <v>87</v>
      </c>
      <c r="E24" t="s">
        <v>88</v>
      </c>
      <c r="F24" t="s">
        <v>89</v>
      </c>
      <c r="G24" t="s">
        <v>90</v>
      </c>
      <c r="H24" cm="1">
        <f t="array" ref="H24">GetLatitude(D24)</f>
        <v>50.847642399999998</v>
      </c>
      <c r="I24" cm="1">
        <f t="array" ref="I24">GetLongitude(D24)</f>
        <v>4.3571695999999998</v>
      </c>
    </row>
    <row r="25" spans="1:9" x14ac:dyDescent="0.3">
      <c r="A25" t="s">
        <v>563</v>
      </c>
      <c r="B25">
        <v>25.204849299999999</v>
      </c>
      <c r="C25">
        <v>55.270782799999999</v>
      </c>
      <c r="D25" t="s">
        <v>91</v>
      </c>
      <c r="E25" t="s">
        <v>58</v>
      </c>
      <c r="F25" t="s">
        <v>92</v>
      </c>
      <c r="G25" t="s">
        <v>93</v>
      </c>
      <c r="H25" cm="1">
        <f t="array" ref="H25">GetLatitude(D25)</f>
        <v>30.525765700000001</v>
      </c>
      <c r="I25" cm="1">
        <f t="array" ref="I25">GetLongitude(D25)</f>
        <v>47.773797000000002</v>
      </c>
    </row>
    <row r="26" spans="1:9" x14ac:dyDescent="0.3">
      <c r="A26" t="s">
        <v>563</v>
      </c>
      <c r="B26">
        <v>25.204849299999999</v>
      </c>
      <c r="C26">
        <v>55.270782799999999</v>
      </c>
      <c r="D26" t="s">
        <v>94</v>
      </c>
      <c r="E26" t="s">
        <v>95</v>
      </c>
      <c r="F26" t="s">
        <v>96</v>
      </c>
      <c r="G26" t="s">
        <v>97</v>
      </c>
      <c r="H26" cm="1">
        <f t="array" ref="H26">GetLatitude(D26)</f>
        <v>47.497911999999999</v>
      </c>
      <c r="I26" cm="1">
        <f t="array" ref="I26">GetLongitude(D26)</f>
        <v>19.040234999999999</v>
      </c>
    </row>
    <row r="27" spans="1:9" x14ac:dyDescent="0.3">
      <c r="A27" t="s">
        <v>563</v>
      </c>
      <c r="B27">
        <v>25.204849299999999</v>
      </c>
      <c r="C27">
        <v>55.270782799999999</v>
      </c>
      <c r="D27" t="s">
        <v>98</v>
      </c>
      <c r="E27" t="s">
        <v>99</v>
      </c>
      <c r="F27" t="s">
        <v>100</v>
      </c>
      <c r="G27" t="s">
        <v>101</v>
      </c>
      <c r="H27" cm="1">
        <f t="array" ref="H27">GetLatitude(D27)</f>
        <v>30.044419600000001</v>
      </c>
      <c r="I27" cm="1">
        <f t="array" ref="I27">GetLongitude(D27)</f>
        <v>31.235711599999998</v>
      </c>
    </row>
    <row r="28" spans="1:9" x14ac:dyDescent="0.3">
      <c r="A28" t="s">
        <v>563</v>
      </c>
      <c r="B28">
        <v>25.204849299999999</v>
      </c>
      <c r="C28">
        <v>55.270782799999999</v>
      </c>
      <c r="D28" t="s">
        <v>102</v>
      </c>
      <c r="E28" t="s">
        <v>103</v>
      </c>
      <c r="F28" t="s">
        <v>104</v>
      </c>
      <c r="G28" t="s">
        <v>105</v>
      </c>
      <c r="H28" cm="1">
        <f t="array" ref="H28">GetLatitude(D28)</f>
        <v>23.129079900000001</v>
      </c>
      <c r="I28" cm="1">
        <f t="array" ref="I28">GetLongitude(D28)</f>
        <v>113.26436</v>
      </c>
    </row>
    <row r="29" spans="1:9" x14ac:dyDescent="0.3">
      <c r="A29" t="s">
        <v>563</v>
      </c>
      <c r="B29">
        <v>25.204849299999999</v>
      </c>
      <c r="C29">
        <v>55.270782799999999</v>
      </c>
      <c r="D29" t="s">
        <v>106</v>
      </c>
      <c r="E29" t="s">
        <v>27</v>
      </c>
      <c r="F29" t="s">
        <v>107</v>
      </c>
      <c r="G29" t="s">
        <v>108</v>
      </c>
      <c r="H29" cm="1">
        <f t="array" ref="H29">GetLatitude(D29)</f>
        <v>22.572645999999999</v>
      </c>
      <c r="I29" cm="1">
        <f t="array" ref="I29">GetLongitude(D29)</f>
        <v>88.363894999999999</v>
      </c>
    </row>
    <row r="30" spans="1:9" x14ac:dyDescent="0.3">
      <c r="A30" t="s">
        <v>563</v>
      </c>
      <c r="B30">
        <v>25.204849299999999</v>
      </c>
      <c r="C30">
        <v>55.270782799999999</v>
      </c>
      <c r="D30" t="s">
        <v>109</v>
      </c>
      <c r="E30" t="s">
        <v>110</v>
      </c>
      <c r="F30" t="s">
        <v>111</v>
      </c>
      <c r="G30" t="s">
        <v>112</v>
      </c>
      <c r="H30" cm="1">
        <f t="array" ref="H30">GetLatitude(D30)</f>
        <v>48.856614</v>
      </c>
      <c r="I30" cm="1">
        <f t="array" ref="I30">GetLongitude(D30)</f>
        <v>2.3522219</v>
      </c>
    </row>
    <row r="31" spans="1:9" x14ac:dyDescent="0.3">
      <c r="A31" t="s">
        <v>563</v>
      </c>
      <c r="B31">
        <v>25.204849299999999</v>
      </c>
      <c r="C31">
        <v>55.270782799999999</v>
      </c>
      <c r="D31" t="s">
        <v>113</v>
      </c>
      <c r="E31" t="s">
        <v>114</v>
      </c>
      <c r="F31" t="s">
        <v>115</v>
      </c>
      <c r="G31" t="s">
        <v>116</v>
      </c>
      <c r="H31" cm="1">
        <f t="array" ref="H31">GetLatitude(D31)</f>
        <v>10.315699199999999</v>
      </c>
      <c r="I31" cm="1">
        <f t="array" ref="I31">GetLongitude(D31)</f>
        <v>123.88543660000001</v>
      </c>
    </row>
    <row r="32" spans="1:9" x14ac:dyDescent="0.3">
      <c r="A32" t="s">
        <v>563</v>
      </c>
      <c r="B32">
        <v>25.204849299999999</v>
      </c>
      <c r="C32">
        <v>55.270782799999999</v>
      </c>
      <c r="D32" t="s">
        <v>117</v>
      </c>
      <c r="E32" t="s">
        <v>118</v>
      </c>
      <c r="F32" t="s">
        <v>119</v>
      </c>
      <c r="G32" t="s">
        <v>120</v>
      </c>
      <c r="H32" cm="1">
        <f t="array" ref="H32">GetLatitude(D32)</f>
        <v>-6.2087633999999996</v>
      </c>
      <c r="I32" cm="1">
        <f t="array" ref="I32">GetLongitude(D32)</f>
        <v>106.84559900000001</v>
      </c>
    </row>
    <row r="33" spans="1:9" x14ac:dyDescent="0.3">
      <c r="A33" t="s">
        <v>563</v>
      </c>
      <c r="B33">
        <v>25.204849299999999</v>
      </c>
      <c r="C33">
        <v>55.270782799999999</v>
      </c>
      <c r="D33" t="s">
        <v>121</v>
      </c>
      <c r="E33" t="s">
        <v>19</v>
      </c>
      <c r="F33" t="s">
        <v>122</v>
      </c>
      <c r="G33" t="s">
        <v>123</v>
      </c>
      <c r="H33" cm="1">
        <f t="array" ref="H33">GetLatitude(D33)</f>
        <v>-43.532021399999998</v>
      </c>
      <c r="I33" cm="1">
        <f t="array" ref="I33">GetLongitude(D33)</f>
        <v>172.63055890000001</v>
      </c>
    </row>
    <row r="34" spans="1:9" x14ac:dyDescent="0.3">
      <c r="A34" t="s">
        <v>563</v>
      </c>
      <c r="B34">
        <v>25.204849299999999</v>
      </c>
      <c r="C34">
        <v>55.270782799999999</v>
      </c>
      <c r="D34" t="s">
        <v>124</v>
      </c>
      <c r="E34" t="s">
        <v>125</v>
      </c>
      <c r="F34" t="s">
        <v>126</v>
      </c>
      <c r="G34" t="s">
        <v>127</v>
      </c>
      <c r="H34" cm="1">
        <f t="array" ref="H34">GetLatitude(D34)</f>
        <v>9.6411855000000006</v>
      </c>
      <c r="I34" cm="1">
        <f t="array" ref="I34">GetLongitude(D34)</f>
        <v>-13.5784012</v>
      </c>
    </row>
    <row r="35" spans="1:9" x14ac:dyDescent="0.3">
      <c r="A35" t="s">
        <v>563</v>
      </c>
      <c r="B35">
        <v>25.204849299999999</v>
      </c>
      <c r="C35">
        <v>55.270782799999999</v>
      </c>
      <c r="D35" t="s">
        <v>128</v>
      </c>
      <c r="E35" t="s">
        <v>129</v>
      </c>
      <c r="F35" t="s">
        <v>130</v>
      </c>
      <c r="G35" t="s">
        <v>131</v>
      </c>
      <c r="H35" cm="1">
        <f t="array" ref="H35">GetLatitude(D35)</f>
        <v>6.9270785999999998</v>
      </c>
      <c r="I35" cm="1">
        <f t="array" ref="I35">GetLongitude(D35)</f>
        <v>79.861243000000002</v>
      </c>
    </row>
    <row r="36" spans="1:9" x14ac:dyDescent="0.3">
      <c r="A36" t="s">
        <v>563</v>
      </c>
      <c r="B36">
        <v>25.204849299999999</v>
      </c>
      <c r="C36">
        <v>55.270782799999999</v>
      </c>
      <c r="D36" t="s">
        <v>132</v>
      </c>
      <c r="E36" t="s">
        <v>133</v>
      </c>
      <c r="F36" t="s">
        <v>134</v>
      </c>
      <c r="G36" t="s">
        <v>135</v>
      </c>
      <c r="H36" cm="1">
        <f t="array" ref="H36">GetLatitude(D36)</f>
        <v>33.573110399999997</v>
      </c>
      <c r="I36" cm="1">
        <f t="array" ref="I36">GetLongitude(D36)</f>
        <v>-7.5898434000000004</v>
      </c>
    </row>
    <row r="37" spans="1:9" x14ac:dyDescent="0.3">
      <c r="A37" t="s">
        <v>563</v>
      </c>
      <c r="B37">
        <v>25.204849299999999</v>
      </c>
      <c r="C37">
        <v>55.270782799999999</v>
      </c>
      <c r="D37" t="s">
        <v>136</v>
      </c>
      <c r="E37" t="s">
        <v>27</v>
      </c>
      <c r="F37" t="s">
        <v>137</v>
      </c>
      <c r="G37" t="s">
        <v>138</v>
      </c>
      <c r="H37" cm="1">
        <f t="array" ref="H37">GetLatitude(D37)</f>
        <v>9.9312328000000001</v>
      </c>
      <c r="I37" cm="1">
        <f t="array" ref="I37">GetLongitude(D37)</f>
        <v>76.267304100000004</v>
      </c>
    </row>
    <row r="38" spans="1:9" x14ac:dyDescent="0.3">
      <c r="A38" t="s">
        <v>563</v>
      </c>
      <c r="B38">
        <v>25.204849299999999</v>
      </c>
      <c r="C38">
        <v>55.270782799999999</v>
      </c>
      <c r="D38" t="s">
        <v>139</v>
      </c>
      <c r="E38" t="s">
        <v>140</v>
      </c>
      <c r="F38" t="s">
        <v>141</v>
      </c>
      <c r="G38" t="s">
        <v>142</v>
      </c>
      <c r="H38" cm="1">
        <f t="array" ref="H38">GetLatitude(D38)</f>
        <v>55.676096800000003</v>
      </c>
      <c r="I38" cm="1">
        <f t="array" ref="I38">GetLongitude(D38)</f>
        <v>12.568337100000001</v>
      </c>
    </row>
    <row r="39" spans="1:9" x14ac:dyDescent="0.3">
      <c r="A39" t="s">
        <v>563</v>
      </c>
      <c r="B39">
        <v>25.204849299999999</v>
      </c>
      <c r="C39">
        <v>55.270782799999999</v>
      </c>
      <c r="D39" t="s">
        <v>143</v>
      </c>
      <c r="E39" t="s">
        <v>144</v>
      </c>
      <c r="F39" t="s">
        <v>145</v>
      </c>
      <c r="G39" t="s">
        <v>146</v>
      </c>
      <c r="H39" cm="1">
        <f t="array" ref="H39">GetLatitude(D39)</f>
        <v>-33.924868500000002</v>
      </c>
      <c r="I39" cm="1">
        <f t="array" ref="I39">GetLongitude(D39)</f>
        <v>18.424055299999999</v>
      </c>
    </row>
    <row r="40" spans="1:9" x14ac:dyDescent="0.3">
      <c r="A40" t="s">
        <v>563</v>
      </c>
      <c r="B40">
        <v>25.204849299999999</v>
      </c>
      <c r="C40">
        <v>55.270782799999999</v>
      </c>
      <c r="D40" t="s">
        <v>147</v>
      </c>
      <c r="E40" t="s">
        <v>114</v>
      </c>
      <c r="F40" t="s">
        <v>148</v>
      </c>
      <c r="G40" t="s">
        <v>149</v>
      </c>
      <c r="H40" cm="1">
        <f t="array" ref="H40">GetLatitude(D40)</f>
        <v>45.634972500000003</v>
      </c>
      <c r="I40" cm="1">
        <f t="array" ref="I40">GetLongitude(D40)</f>
        <v>-122.6517127</v>
      </c>
    </row>
    <row r="41" spans="1:9" x14ac:dyDescent="0.3">
      <c r="A41" t="s">
        <v>563</v>
      </c>
      <c r="B41">
        <v>25.204849299999999</v>
      </c>
      <c r="C41">
        <v>55.270782799999999</v>
      </c>
      <c r="D41" t="s">
        <v>150</v>
      </c>
      <c r="E41" t="s">
        <v>151</v>
      </c>
      <c r="F41" t="s">
        <v>152</v>
      </c>
      <c r="G41" t="s">
        <v>153</v>
      </c>
      <c r="H41" cm="1">
        <f t="array" ref="H41">GetLatitude(D41)</f>
        <v>23.810331999999999</v>
      </c>
      <c r="I41" cm="1">
        <f t="array" ref="I41">GetLongitude(D41)</f>
        <v>90.4125181</v>
      </c>
    </row>
    <row r="42" spans="1:9" x14ac:dyDescent="0.3">
      <c r="A42" t="s">
        <v>563</v>
      </c>
      <c r="B42">
        <v>25.204849299999999</v>
      </c>
      <c r="C42">
        <v>55.270782799999999</v>
      </c>
      <c r="D42" t="s">
        <v>154</v>
      </c>
      <c r="E42" t="s">
        <v>155</v>
      </c>
      <c r="F42" t="s">
        <v>156</v>
      </c>
      <c r="G42" t="s">
        <v>157</v>
      </c>
      <c r="H42" cm="1">
        <f t="array" ref="H42">GetLatitude(D42)</f>
        <v>-6.7923539999999996</v>
      </c>
      <c r="I42" cm="1">
        <f t="array" ref="I42">GetLongitude(D42)</f>
        <v>39.208328399999999</v>
      </c>
    </row>
    <row r="43" spans="1:9" x14ac:dyDescent="0.3">
      <c r="A43" t="s">
        <v>563</v>
      </c>
      <c r="B43">
        <v>25.204849299999999</v>
      </c>
      <c r="C43">
        <v>55.270782799999999</v>
      </c>
      <c r="D43" t="s">
        <v>158</v>
      </c>
      <c r="E43" t="s">
        <v>27</v>
      </c>
      <c r="F43" t="s">
        <v>159</v>
      </c>
      <c r="G43" t="s">
        <v>160</v>
      </c>
      <c r="H43" cm="1">
        <f t="array" ref="H43">GetLatitude(D43)</f>
        <v>28.6139391</v>
      </c>
      <c r="I43" cm="1">
        <f t="array" ref="I43">GetLongitude(D43)</f>
        <v>77.209021199999995</v>
      </c>
    </row>
    <row r="44" spans="1:9" x14ac:dyDescent="0.3">
      <c r="A44" t="s">
        <v>563</v>
      </c>
      <c r="B44">
        <v>25.204849299999999</v>
      </c>
      <c r="C44">
        <v>55.270782799999999</v>
      </c>
      <c r="D44" t="s">
        <v>161</v>
      </c>
      <c r="E44" t="s">
        <v>84</v>
      </c>
      <c r="F44" t="s">
        <v>162</v>
      </c>
      <c r="G44" t="s">
        <v>163</v>
      </c>
      <c r="H44" cm="1">
        <f t="array" ref="H44">GetLatitude(D44)</f>
        <v>32.776664199999999</v>
      </c>
      <c r="I44" cm="1">
        <f t="array" ref="I44">GetLongitude(D44)</f>
        <v>-96.796987900000005</v>
      </c>
    </row>
    <row r="45" spans="1:9" x14ac:dyDescent="0.3">
      <c r="A45" t="s">
        <v>563</v>
      </c>
      <c r="B45">
        <v>25.204849299999999</v>
      </c>
      <c r="C45">
        <v>55.270782799999999</v>
      </c>
      <c r="D45" t="s">
        <v>164</v>
      </c>
      <c r="E45" t="s">
        <v>165</v>
      </c>
      <c r="F45" t="s">
        <v>166</v>
      </c>
      <c r="G45" t="s">
        <v>167</v>
      </c>
      <c r="H45" cm="1">
        <f t="array" ref="H45">GetLatitude(D45)</f>
        <v>55.755825999999999</v>
      </c>
      <c r="I45" cm="1">
        <f t="array" ref="I45">GetLongitude(D45)</f>
        <v>37.6173</v>
      </c>
    </row>
    <row r="46" spans="1:9" x14ac:dyDescent="0.3">
      <c r="A46" t="s">
        <v>563</v>
      </c>
      <c r="B46">
        <v>25.204849299999999</v>
      </c>
      <c r="C46">
        <v>55.270782799999999</v>
      </c>
      <c r="D46" t="s">
        <v>168</v>
      </c>
      <c r="E46" t="s">
        <v>169</v>
      </c>
      <c r="F46" t="s">
        <v>170</v>
      </c>
      <c r="G46" t="s">
        <v>171</v>
      </c>
      <c r="H46" cm="1">
        <f t="array" ref="H46">GetLatitude(D46)</f>
        <v>26.420682800000002</v>
      </c>
      <c r="I46" cm="1">
        <f t="array" ref="I46">GetLongitude(D46)</f>
        <v>50.088794300000004</v>
      </c>
    </row>
    <row r="47" spans="1:9" x14ac:dyDescent="0.3">
      <c r="A47" t="s">
        <v>563</v>
      </c>
      <c r="B47">
        <v>25.204849299999999</v>
      </c>
      <c r="C47">
        <v>55.270782799999999</v>
      </c>
      <c r="D47" t="s">
        <v>172</v>
      </c>
      <c r="E47" t="s">
        <v>118</v>
      </c>
      <c r="F47" t="s">
        <v>173</v>
      </c>
      <c r="G47" t="s">
        <v>174</v>
      </c>
      <c r="H47" cm="1">
        <f t="array" ref="H47">GetLatitude(D47)</f>
        <v>-8.4095177999999997</v>
      </c>
      <c r="I47" cm="1">
        <f t="array" ref="I47">GetLongitude(D47)</f>
        <v>115.18891600000001</v>
      </c>
    </row>
    <row r="48" spans="1:9" x14ac:dyDescent="0.3">
      <c r="A48" t="s">
        <v>563</v>
      </c>
      <c r="B48">
        <v>25.204849299999999</v>
      </c>
      <c r="C48">
        <v>55.270782799999999</v>
      </c>
      <c r="D48" t="s">
        <v>175</v>
      </c>
      <c r="E48" t="s">
        <v>176</v>
      </c>
      <c r="F48" t="s">
        <v>177</v>
      </c>
      <c r="G48" t="s">
        <v>178</v>
      </c>
      <c r="H48" cm="1">
        <f t="array" ref="H48">GetLatitude(D48)</f>
        <v>14.716677000000001</v>
      </c>
      <c r="I48" cm="1">
        <f t="array" ref="I48">GetLongitude(D48)</f>
        <v>-17.467686100000002</v>
      </c>
    </row>
    <row r="49" spans="1:9" x14ac:dyDescent="0.3">
      <c r="A49" t="s">
        <v>563</v>
      </c>
      <c r="B49">
        <v>25.204849299999999</v>
      </c>
      <c r="C49">
        <v>55.270782799999999</v>
      </c>
      <c r="D49" t="s">
        <v>179</v>
      </c>
      <c r="E49" t="s">
        <v>180</v>
      </c>
      <c r="F49" t="s">
        <v>181</v>
      </c>
      <c r="G49" t="s">
        <v>182</v>
      </c>
      <c r="H49" cm="1">
        <f t="array" ref="H49">GetLatitude(D49)</f>
        <v>53.3498053</v>
      </c>
      <c r="I49" cm="1">
        <f t="array" ref="I49">GetLongitude(D49)</f>
        <v>-6.2603096999999996</v>
      </c>
    </row>
    <row r="50" spans="1:9" x14ac:dyDescent="0.3">
      <c r="A50" t="s">
        <v>563</v>
      </c>
      <c r="B50">
        <v>25.204849299999999</v>
      </c>
      <c r="C50">
        <v>55.270782799999999</v>
      </c>
      <c r="D50" t="s">
        <v>183</v>
      </c>
      <c r="E50" t="s">
        <v>144</v>
      </c>
      <c r="F50" t="s">
        <v>184</v>
      </c>
      <c r="G50" t="s">
        <v>185</v>
      </c>
      <c r="H50" cm="1">
        <f t="array" ref="H50">GetLatitude(D50)</f>
        <v>-29.858680400000001</v>
      </c>
      <c r="I50" cm="1">
        <f t="array" ref="I50">GetLongitude(D50)</f>
        <v>31.021840399999999</v>
      </c>
    </row>
    <row r="51" spans="1:9" x14ac:dyDescent="0.3">
      <c r="A51" t="s">
        <v>563</v>
      </c>
      <c r="B51">
        <v>25.204849299999999</v>
      </c>
      <c r="C51">
        <v>55.270782799999999</v>
      </c>
      <c r="D51" t="s">
        <v>186</v>
      </c>
      <c r="E51" t="s">
        <v>187</v>
      </c>
      <c r="F51" t="s">
        <v>188</v>
      </c>
      <c r="G51" t="s">
        <v>189</v>
      </c>
      <c r="H51" cm="1">
        <f t="array" ref="H51">GetLatitude(D51)</f>
        <v>51.227741100000003</v>
      </c>
      <c r="I51" cm="1">
        <f t="array" ref="I51">GetLongitude(D51)</f>
        <v>6.7734556000000001</v>
      </c>
    </row>
    <row r="52" spans="1:9" x14ac:dyDescent="0.3">
      <c r="A52" t="s">
        <v>563</v>
      </c>
      <c r="B52">
        <v>25.204849299999999</v>
      </c>
      <c r="C52">
        <v>55.270782799999999</v>
      </c>
      <c r="D52" t="s">
        <v>190</v>
      </c>
      <c r="E52" t="s">
        <v>191</v>
      </c>
      <c r="F52" t="s">
        <v>192</v>
      </c>
      <c r="G52" t="s">
        <v>193</v>
      </c>
      <c r="H52" cm="1">
        <f t="array" ref="H52">GetLatitude(D52)</f>
        <v>5.1183899999999997E-2</v>
      </c>
      <c r="I52" cm="1">
        <f t="array" ref="I52">GetLongitude(D52)</f>
        <v>32.463707999999997</v>
      </c>
    </row>
    <row r="53" spans="1:9" x14ac:dyDescent="0.3">
      <c r="A53" t="s">
        <v>563</v>
      </c>
      <c r="B53">
        <v>25.204849299999999</v>
      </c>
      <c r="C53">
        <v>55.270782799999999</v>
      </c>
      <c r="D53" t="s">
        <v>194</v>
      </c>
      <c r="E53" t="s">
        <v>62</v>
      </c>
      <c r="F53" t="s">
        <v>195</v>
      </c>
      <c r="G53" t="s">
        <v>196</v>
      </c>
      <c r="H53" cm="1">
        <f t="array" ref="H53">GetLatitude(D53)</f>
        <v>55.953251999999999</v>
      </c>
      <c r="I53" cm="1">
        <f t="array" ref="I53">GetLongitude(D53)</f>
        <v>-3.1882670000000002</v>
      </c>
    </row>
    <row r="54" spans="1:9" x14ac:dyDescent="0.3">
      <c r="A54" t="s">
        <v>563</v>
      </c>
      <c r="B54">
        <v>25.204849299999999</v>
      </c>
      <c r="C54">
        <v>55.270782799999999</v>
      </c>
      <c r="D54" t="s">
        <v>197</v>
      </c>
      <c r="E54" t="s">
        <v>84</v>
      </c>
      <c r="F54" t="s">
        <v>198</v>
      </c>
      <c r="G54" t="s">
        <v>199</v>
      </c>
      <c r="H54" cm="1">
        <f t="array" ref="H54">GetLatitude(D54)</f>
        <v>40.712775299999997</v>
      </c>
      <c r="I54" cm="1">
        <f t="array" ref="I54">GetLongitude(D54)</f>
        <v>-74.005972799999995</v>
      </c>
    </row>
    <row r="55" spans="1:9" x14ac:dyDescent="0.3">
      <c r="A55" t="s">
        <v>563</v>
      </c>
      <c r="B55">
        <v>25.204849299999999</v>
      </c>
      <c r="C55">
        <v>55.270782799999999</v>
      </c>
      <c r="D55" t="s">
        <v>200</v>
      </c>
      <c r="E55" t="s">
        <v>201</v>
      </c>
      <c r="F55" t="s">
        <v>202</v>
      </c>
      <c r="G55" t="s">
        <v>203</v>
      </c>
      <c r="H55" cm="1">
        <f t="array" ref="H55">GetLatitude(D55)</f>
        <v>-34.603684399999999</v>
      </c>
      <c r="I55" cm="1">
        <f t="array" ref="I55">GetLongitude(D55)</f>
        <v>-58.381559099999997</v>
      </c>
    </row>
    <row r="56" spans="1:9" x14ac:dyDescent="0.3">
      <c r="A56" t="s">
        <v>563</v>
      </c>
      <c r="B56">
        <v>25.204849299999999</v>
      </c>
      <c r="C56">
        <v>55.270782799999999</v>
      </c>
      <c r="D56" t="s">
        <v>204</v>
      </c>
      <c r="E56" t="s">
        <v>70</v>
      </c>
      <c r="F56" t="s">
        <v>205</v>
      </c>
      <c r="G56" t="s">
        <v>206</v>
      </c>
      <c r="H56" cm="1">
        <f t="array" ref="H56">GetLatitude(D56)</f>
        <v>41.902783499999998</v>
      </c>
      <c r="I56" cm="1">
        <f t="array" ref="I56">GetLongitude(D56)</f>
        <v>12.4963655</v>
      </c>
    </row>
    <row r="57" spans="1:9" x14ac:dyDescent="0.3">
      <c r="A57" t="s">
        <v>563</v>
      </c>
      <c r="B57">
        <v>25.204849299999999</v>
      </c>
      <c r="C57">
        <v>55.270782799999999</v>
      </c>
      <c r="D57" t="s">
        <v>207</v>
      </c>
      <c r="E57" t="s">
        <v>187</v>
      </c>
      <c r="F57" t="s">
        <v>208</v>
      </c>
      <c r="G57" t="s">
        <v>209</v>
      </c>
      <c r="H57" cm="1">
        <f t="array" ref="H57">GetLatitude(D57)</f>
        <v>50.110922100000003</v>
      </c>
      <c r="I57" cm="1">
        <f t="array" ref="I57">GetLongitude(D57)</f>
        <v>8.6821266999999995</v>
      </c>
    </row>
    <row r="58" spans="1:9" x14ac:dyDescent="0.3">
      <c r="A58" t="s">
        <v>563</v>
      </c>
      <c r="B58">
        <v>25.204849299999999</v>
      </c>
      <c r="C58">
        <v>55.270782799999999</v>
      </c>
      <c r="D58" t="s">
        <v>210</v>
      </c>
      <c r="E58" t="s">
        <v>211</v>
      </c>
      <c r="F58" t="s">
        <v>212</v>
      </c>
      <c r="G58" t="s">
        <v>213</v>
      </c>
      <c r="H58" cm="1">
        <f t="array" ref="H58">GetLatitude(D58)</f>
        <v>-22.906846699999999</v>
      </c>
      <c r="I58" cm="1">
        <f t="array" ref="I58">GetLongitude(D58)</f>
        <v>-43.1728965</v>
      </c>
    </row>
    <row r="59" spans="1:9" x14ac:dyDescent="0.3">
      <c r="A59" t="s">
        <v>563</v>
      </c>
      <c r="B59">
        <v>25.204849299999999</v>
      </c>
      <c r="C59">
        <v>55.270782799999999</v>
      </c>
      <c r="D59" t="s">
        <v>214</v>
      </c>
      <c r="E59" t="s">
        <v>62</v>
      </c>
      <c r="F59" t="s">
        <v>215</v>
      </c>
      <c r="G59" t="s">
        <v>216</v>
      </c>
      <c r="H59" cm="1">
        <f t="array" ref="H59">GetLatitude(D59)</f>
        <v>55.864237000000003</v>
      </c>
      <c r="I59" cm="1">
        <f t="array" ref="I59">GetLongitude(D59)</f>
        <v>-4.2518060000000002</v>
      </c>
    </row>
    <row r="60" spans="1:9" x14ac:dyDescent="0.3">
      <c r="A60" t="s">
        <v>563</v>
      </c>
      <c r="B60">
        <v>25.204849299999999</v>
      </c>
      <c r="C60">
        <v>55.270782799999999</v>
      </c>
      <c r="D60" t="s">
        <v>217</v>
      </c>
      <c r="E60" t="s">
        <v>211</v>
      </c>
      <c r="F60" t="s">
        <v>218</v>
      </c>
      <c r="G60" t="s">
        <v>219</v>
      </c>
      <c r="H60" cm="1">
        <f t="array" ref="H60">GetLatitude(D60)</f>
        <v>-23.555771400000001</v>
      </c>
      <c r="I60" cm="1">
        <f t="array" ref="I60">GetLongitude(D60)</f>
        <v>-46.639557099999998</v>
      </c>
    </row>
    <row r="61" spans="1:9" x14ac:dyDescent="0.3">
      <c r="A61" t="s">
        <v>563</v>
      </c>
      <c r="B61">
        <v>25.204849299999999</v>
      </c>
      <c r="C61">
        <v>55.270782799999999</v>
      </c>
      <c r="D61" t="s">
        <v>220</v>
      </c>
      <c r="E61" t="s">
        <v>221</v>
      </c>
      <c r="F61" t="s">
        <v>222</v>
      </c>
      <c r="G61" t="s">
        <v>223</v>
      </c>
      <c r="H61" cm="1">
        <f t="array" ref="H61">GetLatitude(D61)</f>
        <v>46.204390699999998</v>
      </c>
      <c r="I61" cm="1">
        <f t="array" ref="I61">GetLongitude(D61)</f>
        <v>6.1431576999999997</v>
      </c>
    </row>
    <row r="62" spans="1:9" x14ac:dyDescent="0.3">
      <c r="A62" t="s">
        <v>563</v>
      </c>
      <c r="B62">
        <v>25.204849299999999</v>
      </c>
      <c r="C62">
        <v>55.270782799999999</v>
      </c>
      <c r="D62" t="s">
        <v>224</v>
      </c>
      <c r="E62" t="s">
        <v>187</v>
      </c>
      <c r="F62" t="s">
        <v>225</v>
      </c>
      <c r="G62" t="s">
        <v>226</v>
      </c>
      <c r="H62" cm="1">
        <f t="array" ref="H62">GetLatitude(D62)</f>
        <v>53.548828200000003</v>
      </c>
      <c r="I62" cm="1">
        <f t="array" ref="I62">GetLongitude(D62)</f>
        <v>9.9871703000000007</v>
      </c>
    </row>
    <row r="63" spans="1:9" x14ac:dyDescent="0.3">
      <c r="A63" t="s">
        <v>563</v>
      </c>
      <c r="B63">
        <v>25.204849299999999</v>
      </c>
      <c r="C63">
        <v>55.270782799999999</v>
      </c>
      <c r="D63" t="s">
        <v>227</v>
      </c>
      <c r="E63" t="s">
        <v>228</v>
      </c>
      <c r="F63" t="s">
        <v>229</v>
      </c>
      <c r="G63" t="s">
        <v>230</v>
      </c>
      <c r="H63" cm="1">
        <f t="array" ref="H63">GetLatitude(D63)</f>
        <v>21.027764399999999</v>
      </c>
      <c r="I63" cm="1">
        <f t="array" ref="I63">GetLongitude(D63)</f>
        <v>105.83415979999999</v>
      </c>
    </row>
    <row r="64" spans="1:9" x14ac:dyDescent="0.3">
      <c r="A64" t="s">
        <v>563</v>
      </c>
      <c r="B64">
        <v>25.204849299999999</v>
      </c>
      <c r="C64">
        <v>55.270782799999999</v>
      </c>
      <c r="D64" t="s">
        <v>231</v>
      </c>
      <c r="E64" t="s">
        <v>232</v>
      </c>
      <c r="F64" t="s">
        <v>233</v>
      </c>
      <c r="G64" t="s">
        <v>234</v>
      </c>
      <c r="H64" cm="1">
        <f t="array" ref="H64">GetLatitude(D64)</f>
        <v>22.319303900000001</v>
      </c>
      <c r="I64" cm="1">
        <f t="array" ref="I64">GetLongitude(D64)</f>
        <v>114.1693611</v>
      </c>
    </row>
    <row r="65" spans="1:9" x14ac:dyDescent="0.3">
      <c r="A65" t="s">
        <v>563</v>
      </c>
      <c r="B65">
        <v>25.204849299999999</v>
      </c>
      <c r="C65">
        <v>55.270782799999999</v>
      </c>
      <c r="D65" t="s">
        <v>235</v>
      </c>
      <c r="E65" t="s">
        <v>66</v>
      </c>
      <c r="F65" t="s">
        <v>236</v>
      </c>
      <c r="G65" t="s">
        <v>237</v>
      </c>
      <c r="H65" cm="1">
        <f t="array" ref="H65">GetLatitude(D65)</f>
        <v>7.8804479000000001</v>
      </c>
      <c r="I65" cm="1">
        <f t="array" ref="I65">GetLongitude(D65)</f>
        <v>98.392250399999995</v>
      </c>
    </row>
    <row r="66" spans="1:9" x14ac:dyDescent="0.3">
      <c r="A66" t="s">
        <v>563</v>
      </c>
      <c r="B66">
        <v>25.204849299999999</v>
      </c>
      <c r="C66">
        <v>55.270782799999999</v>
      </c>
      <c r="D66" t="s">
        <v>238</v>
      </c>
      <c r="E66" t="s">
        <v>239</v>
      </c>
      <c r="F66" t="s">
        <v>240</v>
      </c>
      <c r="G66" t="s">
        <v>241</v>
      </c>
      <c r="H66" cm="1">
        <f t="array" ref="H66">GetLatitude(D66)</f>
        <v>35.676191899999999</v>
      </c>
      <c r="I66" cm="1">
        <f t="array" ref="I66">GetLongitude(D66)</f>
        <v>139.65031060000001</v>
      </c>
    </row>
    <row r="67" spans="1:9" x14ac:dyDescent="0.3">
      <c r="A67" t="s">
        <v>563</v>
      </c>
      <c r="B67">
        <v>25.204849299999999</v>
      </c>
      <c r="C67">
        <v>55.270782799999999</v>
      </c>
      <c r="D67" t="s">
        <v>242</v>
      </c>
      <c r="E67" t="s">
        <v>243</v>
      </c>
      <c r="F67" t="s">
        <v>244</v>
      </c>
      <c r="G67" t="s">
        <v>245</v>
      </c>
      <c r="H67" cm="1">
        <f t="array" ref="H67">GetLatitude(D67)</f>
        <v>-17.821628799999999</v>
      </c>
      <c r="I67" cm="1">
        <f t="array" ref="I67">GetLongitude(D67)</f>
        <v>31.0492259</v>
      </c>
    </row>
    <row r="68" spans="1:9" x14ac:dyDescent="0.3">
      <c r="A68" t="s">
        <v>563</v>
      </c>
      <c r="B68">
        <v>25.204849299999999</v>
      </c>
      <c r="C68">
        <v>55.270782799999999</v>
      </c>
      <c r="D68" t="s">
        <v>246</v>
      </c>
      <c r="E68" t="s">
        <v>27</v>
      </c>
      <c r="F68" t="s">
        <v>247</v>
      </c>
      <c r="G68" t="s">
        <v>248</v>
      </c>
      <c r="H68" cm="1">
        <f t="array" ref="H68">GetLatitude(D68)</f>
        <v>17.385044000000001</v>
      </c>
      <c r="I68" cm="1">
        <f t="array" ref="I68">GetLongitude(D68)</f>
        <v>78.486671000000001</v>
      </c>
    </row>
    <row r="69" spans="1:9" x14ac:dyDescent="0.3">
      <c r="A69" t="s">
        <v>563</v>
      </c>
      <c r="B69">
        <v>25.204849299999999</v>
      </c>
      <c r="C69">
        <v>55.270782799999999</v>
      </c>
      <c r="D69" t="s">
        <v>249</v>
      </c>
      <c r="E69" t="s">
        <v>84</v>
      </c>
      <c r="F69" t="s">
        <v>250</v>
      </c>
      <c r="G69" t="s">
        <v>251</v>
      </c>
      <c r="H69" cm="1">
        <f t="array" ref="H69">GetLatitude(D69)</f>
        <v>38.907192299999998</v>
      </c>
      <c r="I69" cm="1">
        <f t="array" ref="I69">GetLongitude(D69)</f>
        <v>-77.036870699999994</v>
      </c>
    </row>
    <row r="70" spans="1:9" x14ac:dyDescent="0.3">
      <c r="A70" t="s">
        <v>563</v>
      </c>
      <c r="B70">
        <v>25.204849299999999</v>
      </c>
      <c r="C70">
        <v>55.270782799999999</v>
      </c>
      <c r="D70" t="s">
        <v>252</v>
      </c>
      <c r="E70" t="s">
        <v>84</v>
      </c>
      <c r="F70" t="s">
        <v>253</v>
      </c>
      <c r="G70" t="s">
        <v>254</v>
      </c>
      <c r="H70" cm="1">
        <f t="array" ref="H70">GetLatitude(D70)</f>
        <v>29.7604267</v>
      </c>
      <c r="I70" cm="1">
        <f t="array" ref="I70">GetLongitude(D70)</f>
        <v>-95.369802800000002</v>
      </c>
    </row>
    <row r="71" spans="1:9" x14ac:dyDescent="0.3">
      <c r="A71" t="s">
        <v>563</v>
      </c>
      <c r="B71">
        <v>25.204849299999999</v>
      </c>
      <c r="C71">
        <v>55.270782799999999</v>
      </c>
      <c r="D71" t="s">
        <v>255</v>
      </c>
      <c r="E71" t="s">
        <v>256</v>
      </c>
      <c r="F71" t="s">
        <v>257</v>
      </c>
      <c r="G71" t="s">
        <v>258</v>
      </c>
      <c r="H71" cm="1">
        <f t="array" ref="H71">GetLatitude(D71)</f>
        <v>37.551891099999999</v>
      </c>
      <c r="I71" cm="1">
        <f t="array" ref="I71">GetLongitude(D71)</f>
        <v>126.9917937</v>
      </c>
    </row>
    <row r="72" spans="1:9" x14ac:dyDescent="0.3">
      <c r="A72" t="s">
        <v>563</v>
      </c>
      <c r="B72">
        <v>25.204849299999999</v>
      </c>
      <c r="C72">
        <v>55.270782799999999</v>
      </c>
      <c r="D72" t="s">
        <v>259</v>
      </c>
      <c r="E72" t="s">
        <v>260</v>
      </c>
      <c r="F72" t="s">
        <v>261</v>
      </c>
      <c r="G72" t="s">
        <v>262</v>
      </c>
      <c r="H72" cm="1">
        <f t="array" ref="H72">GetLatitude(D72)</f>
        <v>35.721858300000001</v>
      </c>
      <c r="I72" cm="1">
        <f t="array" ref="I72">GetLongitude(D72)</f>
        <v>51.334695400000001</v>
      </c>
    </row>
    <row r="73" spans="1:9" x14ac:dyDescent="0.3">
      <c r="A73" t="s">
        <v>563</v>
      </c>
      <c r="B73">
        <v>25.204849299999999</v>
      </c>
      <c r="C73">
        <v>55.270782799999999</v>
      </c>
      <c r="D73" t="s">
        <v>263</v>
      </c>
      <c r="E73" t="s">
        <v>264</v>
      </c>
      <c r="F73" t="s">
        <v>265</v>
      </c>
      <c r="G73" t="s">
        <v>266</v>
      </c>
      <c r="H73" cm="1">
        <f t="array" ref="H73">GetLatitude(D73)</f>
        <v>33.684420199999998</v>
      </c>
      <c r="I73" cm="1">
        <f t="array" ref="I73">GetLongitude(D73)</f>
        <v>73.047884800000006</v>
      </c>
    </row>
    <row r="74" spans="1:9" x14ac:dyDescent="0.3">
      <c r="A74" t="s">
        <v>563</v>
      </c>
      <c r="B74">
        <v>25.204849299999999</v>
      </c>
      <c r="C74">
        <v>55.270782799999999</v>
      </c>
      <c r="D74" t="s">
        <v>267</v>
      </c>
      <c r="E74" t="s">
        <v>268</v>
      </c>
      <c r="F74" t="s">
        <v>269</v>
      </c>
      <c r="G74" t="s">
        <v>270</v>
      </c>
      <c r="H74" cm="1">
        <f t="array" ref="H74">GetLatitude(D74)</f>
        <v>41.008237600000001</v>
      </c>
      <c r="I74" cm="1">
        <f t="array" ref="I74">GetLongitude(D74)</f>
        <v>28.9783589</v>
      </c>
    </row>
    <row r="75" spans="1:9" x14ac:dyDescent="0.3">
      <c r="A75" t="s">
        <v>563</v>
      </c>
      <c r="B75">
        <v>25.204849299999999</v>
      </c>
      <c r="C75">
        <v>55.270782799999999</v>
      </c>
      <c r="D75" t="s">
        <v>271</v>
      </c>
      <c r="E75" t="s">
        <v>169</v>
      </c>
      <c r="F75" t="s">
        <v>272</v>
      </c>
      <c r="G75" t="s">
        <v>273</v>
      </c>
      <c r="H75" cm="1">
        <f t="array" ref="H75">GetLatitude(D75)</f>
        <v>21.485811000000002</v>
      </c>
      <c r="I75" cm="1">
        <f t="array" ref="I75">GetLongitude(D75)</f>
        <v>39.192504800000002</v>
      </c>
    </row>
    <row r="76" spans="1:9" x14ac:dyDescent="0.3">
      <c r="A76" t="s">
        <v>563</v>
      </c>
      <c r="B76">
        <v>25.204849299999999</v>
      </c>
      <c r="C76">
        <v>55.270782799999999</v>
      </c>
      <c r="D76" t="s">
        <v>197</v>
      </c>
      <c r="E76" t="s">
        <v>84</v>
      </c>
      <c r="F76" t="s">
        <v>274</v>
      </c>
      <c r="G76" t="s">
        <v>275</v>
      </c>
      <c r="H76" cm="1">
        <f t="array" ref="H76">GetLatitude(D76)</f>
        <v>40.712775299999997</v>
      </c>
      <c r="I76" cm="1">
        <f t="array" ref="I76">GetLongitude(D76)</f>
        <v>-74.005972799999995</v>
      </c>
    </row>
    <row r="77" spans="1:9" x14ac:dyDescent="0.3">
      <c r="A77" t="s">
        <v>563</v>
      </c>
      <c r="B77">
        <v>25.204849299999999</v>
      </c>
      <c r="C77">
        <v>55.270782799999999</v>
      </c>
      <c r="D77" t="s">
        <v>276</v>
      </c>
      <c r="E77" t="s">
        <v>144</v>
      </c>
      <c r="F77" t="s">
        <v>277</v>
      </c>
      <c r="G77" t="s">
        <v>278</v>
      </c>
      <c r="H77" cm="1">
        <f t="array" ref="H77">GetLatitude(D77)</f>
        <v>-26.204102800000001</v>
      </c>
      <c r="I77" cm="1">
        <f t="array" ref="I77">GetLongitude(D77)</f>
        <v>28.047305099999999</v>
      </c>
    </row>
    <row r="78" spans="1:9" x14ac:dyDescent="0.3">
      <c r="A78" t="s">
        <v>563</v>
      </c>
      <c r="B78">
        <v>25.204849299999999</v>
      </c>
      <c r="C78">
        <v>55.270782799999999</v>
      </c>
      <c r="D78" t="s">
        <v>279</v>
      </c>
      <c r="E78" t="s">
        <v>280</v>
      </c>
      <c r="F78" t="s">
        <v>281</v>
      </c>
      <c r="G78" t="s">
        <v>282</v>
      </c>
      <c r="H78" cm="1">
        <f t="array" ref="H78">GetLatitude(D78)</f>
        <v>34.555349399999997</v>
      </c>
      <c r="I78" cm="1">
        <f t="array" ref="I78">GetLongitude(D78)</f>
        <v>69.207486000000003</v>
      </c>
    </row>
    <row r="79" spans="1:9" x14ac:dyDescent="0.3">
      <c r="A79" t="s">
        <v>563</v>
      </c>
      <c r="B79">
        <v>25.204849299999999</v>
      </c>
      <c r="C79">
        <v>55.270782799999999</v>
      </c>
      <c r="D79" t="s">
        <v>283</v>
      </c>
      <c r="E79" t="s">
        <v>264</v>
      </c>
      <c r="F79" t="s">
        <v>284</v>
      </c>
      <c r="G79" t="s">
        <v>285</v>
      </c>
      <c r="H79" cm="1">
        <f t="array" ref="H79">GetLatitude(D79)</f>
        <v>24.860734300000001</v>
      </c>
      <c r="I79" cm="1">
        <f t="array" ref="I79">GetLongitude(D79)</f>
        <v>67.001136399999993</v>
      </c>
    </row>
    <row r="80" spans="1:9" x14ac:dyDescent="0.3">
      <c r="A80" t="s">
        <v>563</v>
      </c>
      <c r="B80">
        <v>25.204849299999999</v>
      </c>
      <c r="C80">
        <v>55.270782799999999</v>
      </c>
      <c r="D80" t="s">
        <v>286</v>
      </c>
      <c r="E80" t="s">
        <v>239</v>
      </c>
      <c r="F80" t="s">
        <v>287</v>
      </c>
      <c r="G80" t="s">
        <v>288</v>
      </c>
      <c r="H80" cm="1">
        <f t="array" ref="H80">GetLatitude(D80)</f>
        <v>34.693724899999999</v>
      </c>
      <c r="I80" cm="1">
        <f t="array" ref="I80">GetLongitude(D80)</f>
        <v>135.50225349999999</v>
      </c>
    </row>
    <row r="81" spans="1:9" x14ac:dyDescent="0.3">
      <c r="A81" t="s">
        <v>563</v>
      </c>
      <c r="B81">
        <v>25.204849299999999</v>
      </c>
      <c r="C81">
        <v>55.270782799999999</v>
      </c>
      <c r="D81" t="s">
        <v>289</v>
      </c>
      <c r="E81" t="s">
        <v>290</v>
      </c>
      <c r="F81" t="s">
        <v>291</v>
      </c>
      <c r="G81" t="s">
        <v>292</v>
      </c>
      <c r="H81" cm="1">
        <f t="array" ref="H81">GetLatitude(D81)</f>
        <v>15.5006544</v>
      </c>
      <c r="I81" cm="1">
        <f t="array" ref="I81">GetLongitude(D81)</f>
        <v>32.559899399999999</v>
      </c>
    </row>
    <row r="82" spans="1:9" x14ac:dyDescent="0.3">
      <c r="A82" t="s">
        <v>563</v>
      </c>
      <c r="B82">
        <v>25.204849299999999</v>
      </c>
      <c r="C82">
        <v>55.270782799999999</v>
      </c>
      <c r="D82" t="s">
        <v>293</v>
      </c>
      <c r="E82" t="s">
        <v>294</v>
      </c>
      <c r="F82" t="s">
        <v>295</v>
      </c>
      <c r="G82" t="s">
        <v>296</v>
      </c>
      <c r="H82" cm="1">
        <f t="array" ref="H82">GetLatitude(D82)</f>
        <v>3.1569486000000002</v>
      </c>
      <c r="I82" cm="1">
        <f t="array" ref="I82">GetLongitude(D82)</f>
        <v>101.71230300000001</v>
      </c>
    </row>
    <row r="83" spans="1:9" x14ac:dyDescent="0.3">
      <c r="A83" t="s">
        <v>563</v>
      </c>
      <c r="B83">
        <v>25.204849299999999</v>
      </c>
      <c r="C83">
        <v>55.270782799999999</v>
      </c>
      <c r="D83" t="s">
        <v>297</v>
      </c>
      <c r="E83" t="s">
        <v>298</v>
      </c>
      <c r="F83" t="s">
        <v>299</v>
      </c>
      <c r="G83" t="s">
        <v>300</v>
      </c>
      <c r="H83" cm="1">
        <f t="array" ref="H83">GetLatitude(D83)</f>
        <v>29.375858999999998</v>
      </c>
      <c r="I83" cm="1">
        <f t="array" ref="I83">GetLongitude(D83)</f>
        <v>47.9774052</v>
      </c>
    </row>
    <row r="84" spans="1:9" x14ac:dyDescent="0.3">
      <c r="A84" t="s">
        <v>563</v>
      </c>
      <c r="B84">
        <v>25.204849299999999</v>
      </c>
      <c r="C84">
        <v>55.270782799999999</v>
      </c>
      <c r="D84" t="s">
        <v>301</v>
      </c>
      <c r="E84" t="s">
        <v>302</v>
      </c>
      <c r="F84" t="s">
        <v>303</v>
      </c>
      <c r="G84" t="s">
        <v>304</v>
      </c>
      <c r="H84" cm="1">
        <f t="array" ref="H84">GetLatitude(D84)</f>
        <v>-8.8146556</v>
      </c>
      <c r="I84" cm="1">
        <f t="array" ref="I84">GetLongitude(D84)</f>
        <v>13.230175600000001</v>
      </c>
    </row>
    <row r="85" spans="1:9" x14ac:dyDescent="0.3">
      <c r="A85" t="s">
        <v>563</v>
      </c>
      <c r="B85">
        <v>25.204849299999999</v>
      </c>
      <c r="C85">
        <v>55.270782799999999</v>
      </c>
      <c r="D85" t="s">
        <v>305</v>
      </c>
      <c r="E85" t="s">
        <v>84</v>
      </c>
      <c r="F85" t="s">
        <v>306</v>
      </c>
      <c r="G85" t="s">
        <v>307</v>
      </c>
      <c r="H85" cm="1">
        <f t="array" ref="H85">GetLatitude(D85)</f>
        <v>34.052234200000001</v>
      </c>
      <c r="I85" cm="1">
        <f t="array" ref="I85">GetLongitude(D85)</f>
        <v>-118.24368490000001</v>
      </c>
    </row>
    <row r="86" spans="1:9" x14ac:dyDescent="0.3">
      <c r="A86" t="s">
        <v>563</v>
      </c>
      <c r="B86">
        <v>25.204849299999999</v>
      </c>
      <c r="C86">
        <v>55.270782799999999</v>
      </c>
      <c r="D86" t="s">
        <v>308</v>
      </c>
      <c r="E86" t="s">
        <v>309</v>
      </c>
      <c r="F86" t="s">
        <v>310</v>
      </c>
      <c r="G86" t="s">
        <v>311</v>
      </c>
      <c r="H86" cm="1">
        <f t="array" ref="H86">GetLatitude(D86)</f>
        <v>34.918222200000002</v>
      </c>
      <c r="I86" cm="1">
        <f t="array" ref="I86">GetLongitude(D86)</f>
        <v>33.620062500000003</v>
      </c>
    </row>
    <row r="87" spans="1:9" x14ac:dyDescent="0.3">
      <c r="A87" t="s">
        <v>563</v>
      </c>
      <c r="B87">
        <v>25.204849299999999</v>
      </c>
      <c r="C87">
        <v>55.270782799999999</v>
      </c>
      <c r="D87" t="s">
        <v>312</v>
      </c>
      <c r="E87" t="s">
        <v>165</v>
      </c>
      <c r="F87" t="s">
        <v>313</v>
      </c>
      <c r="G87" t="s">
        <v>314</v>
      </c>
      <c r="H87" cm="1">
        <f t="array" ref="H87">GetLatitude(D87)</f>
        <v>59.931058399999998</v>
      </c>
      <c r="I87" cm="1">
        <f t="array" ref="I87">GetLongitude(D87)</f>
        <v>30.360909700000001</v>
      </c>
    </row>
    <row r="88" spans="1:9" x14ac:dyDescent="0.3">
      <c r="A88" t="s">
        <v>563</v>
      </c>
      <c r="B88">
        <v>25.204849299999999</v>
      </c>
      <c r="C88">
        <v>55.270782799999999</v>
      </c>
      <c r="D88" t="s">
        <v>315</v>
      </c>
      <c r="E88" t="s">
        <v>62</v>
      </c>
      <c r="F88" t="s">
        <v>316</v>
      </c>
      <c r="G88" t="s">
        <v>317</v>
      </c>
      <c r="H88" cm="1">
        <f t="array" ref="H88">GetLatitude(D88)</f>
        <v>51.507217799999999</v>
      </c>
      <c r="I88" cm="1">
        <f t="array" ref="I88">GetLongitude(D88)</f>
        <v>-0.12758620000000001</v>
      </c>
    </row>
    <row r="89" spans="1:9" x14ac:dyDescent="0.3">
      <c r="A89" t="s">
        <v>563</v>
      </c>
      <c r="B89">
        <v>25.204849299999999</v>
      </c>
      <c r="C89">
        <v>55.270782799999999</v>
      </c>
      <c r="D89" t="s">
        <v>318</v>
      </c>
      <c r="E89" t="s">
        <v>264</v>
      </c>
      <c r="F89" t="s">
        <v>319</v>
      </c>
      <c r="G89" t="s">
        <v>320</v>
      </c>
      <c r="H89" cm="1">
        <f t="array" ref="H89">GetLatitude(D89)</f>
        <v>31.520369599999999</v>
      </c>
      <c r="I89" cm="1">
        <f t="array" ref="I89">GetLongitude(D89)</f>
        <v>74.358747300000005</v>
      </c>
    </row>
    <row r="90" spans="1:9" x14ac:dyDescent="0.3">
      <c r="A90" t="s">
        <v>563</v>
      </c>
      <c r="B90">
        <v>25.204849299999999</v>
      </c>
      <c r="C90">
        <v>55.270782799999999</v>
      </c>
      <c r="D90" t="s">
        <v>315</v>
      </c>
      <c r="E90" t="s">
        <v>62</v>
      </c>
      <c r="F90" t="s">
        <v>321</v>
      </c>
      <c r="G90" t="s">
        <v>322</v>
      </c>
      <c r="H90" cm="1">
        <f t="array" ref="H90">GetLatitude(D90)</f>
        <v>51.507217799999999</v>
      </c>
      <c r="I90" cm="1">
        <f t="array" ref="I90">GetLongitude(D90)</f>
        <v>-0.12758620000000001</v>
      </c>
    </row>
    <row r="91" spans="1:9" x14ac:dyDescent="0.3">
      <c r="A91" t="s">
        <v>563</v>
      </c>
      <c r="B91">
        <v>25.204849299999999</v>
      </c>
      <c r="C91">
        <v>55.270782799999999</v>
      </c>
      <c r="D91" t="s">
        <v>323</v>
      </c>
      <c r="E91" t="s">
        <v>324</v>
      </c>
      <c r="F91" t="s">
        <v>325</v>
      </c>
      <c r="G91" t="s">
        <v>326</v>
      </c>
      <c r="H91" cm="1">
        <f t="array" ref="H91">GetLatitude(D91)</f>
        <v>38.722252400000002</v>
      </c>
      <c r="I91" cm="1">
        <f t="array" ref="I91">GetLongitude(D91)</f>
        <v>-9.1393366</v>
      </c>
    </row>
    <row r="92" spans="1:9" x14ac:dyDescent="0.3">
      <c r="A92" t="s">
        <v>563</v>
      </c>
      <c r="B92">
        <v>25.204849299999999</v>
      </c>
      <c r="C92">
        <v>55.270782799999999</v>
      </c>
      <c r="D92" t="s">
        <v>327</v>
      </c>
      <c r="E92" t="s">
        <v>7</v>
      </c>
      <c r="F92" t="s">
        <v>328</v>
      </c>
      <c r="G92" t="s">
        <v>329</v>
      </c>
      <c r="H92" cm="1">
        <f t="array" ref="H92">GetLatitude(D92)</f>
        <v>6.5243792999999997</v>
      </c>
      <c r="I92" cm="1">
        <f t="array" ref="I92">GetLongitude(D92)</f>
        <v>3.3792057</v>
      </c>
    </row>
    <row r="93" spans="1:9" x14ac:dyDescent="0.3">
      <c r="A93" t="s">
        <v>563</v>
      </c>
      <c r="B93">
        <v>25.204849299999999</v>
      </c>
      <c r="C93">
        <v>55.270782799999999</v>
      </c>
      <c r="D93" t="s">
        <v>330</v>
      </c>
      <c r="E93" t="s">
        <v>331</v>
      </c>
      <c r="F93" t="s">
        <v>332</v>
      </c>
      <c r="G93" t="s">
        <v>333</v>
      </c>
      <c r="H93" cm="1">
        <f t="array" ref="H93">GetLatitude(D93)</f>
        <v>-15.3875259</v>
      </c>
      <c r="I93" cm="1">
        <f t="array" ref="I93">GetLongitude(D93)</f>
        <v>28.322816499999998</v>
      </c>
    </row>
    <row r="94" spans="1:9" x14ac:dyDescent="0.3">
      <c r="A94" t="s">
        <v>563</v>
      </c>
      <c r="B94">
        <v>25.204849299999999</v>
      </c>
      <c r="C94">
        <v>55.270782799999999</v>
      </c>
      <c r="D94" t="s">
        <v>334</v>
      </c>
      <c r="E94" t="s">
        <v>110</v>
      </c>
      <c r="F94" t="s">
        <v>335</v>
      </c>
      <c r="G94" t="s">
        <v>336</v>
      </c>
      <c r="H94" cm="1">
        <f t="array" ref="H94">GetLatitude(D94)</f>
        <v>45.764043000000001</v>
      </c>
      <c r="I94" cm="1">
        <f t="array" ref="I94">GetLongitude(D94)</f>
        <v>4.8356589999999997</v>
      </c>
    </row>
    <row r="95" spans="1:9" x14ac:dyDescent="0.3">
      <c r="A95" t="s">
        <v>563</v>
      </c>
      <c r="B95">
        <v>25.204849299999999</v>
      </c>
      <c r="C95">
        <v>55.270782799999999</v>
      </c>
      <c r="D95" t="s">
        <v>337</v>
      </c>
      <c r="E95" t="s">
        <v>27</v>
      </c>
      <c r="F95" t="s">
        <v>338</v>
      </c>
      <c r="G95" t="s">
        <v>339</v>
      </c>
      <c r="H95" cm="1">
        <f t="array" ref="H95">GetLatitude(D95)</f>
        <v>13.0826802</v>
      </c>
      <c r="I95" cm="1">
        <f t="array" ref="I95">GetLongitude(D95)</f>
        <v>80.270718400000007</v>
      </c>
    </row>
    <row r="96" spans="1:9" x14ac:dyDescent="0.3">
      <c r="A96" t="s">
        <v>563</v>
      </c>
      <c r="B96">
        <v>25.204849299999999</v>
      </c>
      <c r="C96">
        <v>55.270782799999999</v>
      </c>
      <c r="D96" t="s">
        <v>340</v>
      </c>
      <c r="E96" t="s">
        <v>50</v>
      </c>
      <c r="F96" t="s">
        <v>341</v>
      </c>
      <c r="G96" t="s">
        <v>342</v>
      </c>
      <c r="H96" cm="1">
        <f t="array" ref="H96">GetLatitude(D96)</f>
        <v>40.416775399999999</v>
      </c>
      <c r="I96" cm="1">
        <f t="array" ref="I96">GetLongitude(D96)</f>
        <v>-3.7037901999999998</v>
      </c>
    </row>
    <row r="97" spans="1:9" x14ac:dyDescent="0.3">
      <c r="A97" t="s">
        <v>563</v>
      </c>
      <c r="B97">
        <v>25.204849299999999</v>
      </c>
      <c r="C97">
        <v>55.270782799999999</v>
      </c>
      <c r="D97" t="s">
        <v>343</v>
      </c>
      <c r="E97" t="s">
        <v>62</v>
      </c>
      <c r="F97" t="s">
        <v>344</v>
      </c>
      <c r="G97" t="s">
        <v>345</v>
      </c>
      <c r="H97" cm="1">
        <f t="array" ref="H97">GetLatitude(D97)</f>
        <v>53.480759300000003</v>
      </c>
      <c r="I97" cm="1">
        <f t="array" ref="I97">GetLongitude(D97)</f>
        <v>-2.2426305000000002</v>
      </c>
    </row>
    <row r="98" spans="1:9" x14ac:dyDescent="0.3">
      <c r="A98" t="s">
        <v>563</v>
      </c>
      <c r="B98">
        <v>25.204849299999999</v>
      </c>
      <c r="C98">
        <v>55.270782799999999</v>
      </c>
      <c r="D98" t="s">
        <v>346</v>
      </c>
      <c r="E98" t="s">
        <v>84</v>
      </c>
      <c r="F98" t="s">
        <v>347</v>
      </c>
      <c r="G98" t="s">
        <v>348</v>
      </c>
      <c r="H98" cm="1">
        <f t="array" ref="H98">GetLatitude(D98)</f>
        <v>28.538383199999998</v>
      </c>
      <c r="I98" cm="1">
        <f t="array" ref="I98">GetLongitude(D98)</f>
        <v>-81.378926899999996</v>
      </c>
    </row>
    <row r="99" spans="1:9" x14ac:dyDescent="0.3">
      <c r="A99" t="s">
        <v>563</v>
      </c>
      <c r="B99">
        <v>25.204849299999999</v>
      </c>
      <c r="C99">
        <v>55.270782799999999</v>
      </c>
      <c r="D99" t="s">
        <v>349</v>
      </c>
      <c r="E99" t="s">
        <v>350</v>
      </c>
      <c r="F99" t="s">
        <v>351</v>
      </c>
      <c r="G99" t="s">
        <v>352</v>
      </c>
      <c r="H99" cm="1">
        <f t="array" ref="H99">GetLatitude(D99)</f>
        <v>23.588030700000001</v>
      </c>
      <c r="I99" cm="1">
        <f t="array" ref="I99">GetLongitude(D99)</f>
        <v>58.382871700000003</v>
      </c>
    </row>
    <row r="100" spans="1:9" x14ac:dyDescent="0.3">
      <c r="A100" t="s">
        <v>563</v>
      </c>
      <c r="B100">
        <v>25.204849299999999</v>
      </c>
      <c r="C100">
        <v>55.270782799999999</v>
      </c>
      <c r="D100" t="s">
        <v>353</v>
      </c>
      <c r="E100" t="s">
        <v>169</v>
      </c>
      <c r="F100" t="s">
        <v>354</v>
      </c>
      <c r="G100" t="s">
        <v>355</v>
      </c>
      <c r="H100" cm="1">
        <f t="array" ref="H100">GetLatitude(D100)</f>
        <v>24.524654200000001</v>
      </c>
      <c r="I100" cm="1">
        <f t="array" ref="I100">GetLongitude(D100)</f>
        <v>39.569184100000001</v>
      </c>
    </row>
    <row r="101" spans="1:9" x14ac:dyDescent="0.3">
      <c r="A101" t="s">
        <v>563</v>
      </c>
      <c r="B101">
        <v>25.204849299999999</v>
      </c>
      <c r="C101">
        <v>55.270782799999999</v>
      </c>
      <c r="D101" t="s">
        <v>356</v>
      </c>
      <c r="E101" t="s">
        <v>77</v>
      </c>
      <c r="F101" t="s">
        <v>357</v>
      </c>
      <c r="G101" t="s">
        <v>358</v>
      </c>
      <c r="H101" cm="1">
        <f t="array" ref="H101">GetLatitude(D101)</f>
        <v>-37.813627599999997</v>
      </c>
      <c r="I101" cm="1">
        <f t="array" ref="I101">GetLongitude(D101)</f>
        <v>144.96305760000001</v>
      </c>
    </row>
    <row r="102" spans="1:9" x14ac:dyDescent="0.3">
      <c r="A102" t="s">
        <v>563</v>
      </c>
      <c r="B102">
        <v>25.204849299999999</v>
      </c>
      <c r="C102">
        <v>55.270782799999999</v>
      </c>
      <c r="D102" t="s">
        <v>359</v>
      </c>
      <c r="E102" t="s">
        <v>360</v>
      </c>
      <c r="F102" t="s">
        <v>361</v>
      </c>
      <c r="G102" t="s">
        <v>362</v>
      </c>
      <c r="H102" cm="1">
        <f t="array" ref="H102">GetLatitude(D102)</f>
        <v>19.432607699999998</v>
      </c>
      <c r="I102" cm="1">
        <f t="array" ref="I102">GetLongitude(D102)</f>
        <v>-99.133207999999996</v>
      </c>
    </row>
    <row r="103" spans="1:9" x14ac:dyDescent="0.3">
      <c r="A103" t="s">
        <v>563</v>
      </c>
      <c r="B103">
        <v>25.204849299999999</v>
      </c>
      <c r="C103">
        <v>55.270782799999999</v>
      </c>
      <c r="D103" t="s">
        <v>363</v>
      </c>
      <c r="E103" t="s">
        <v>84</v>
      </c>
      <c r="F103" t="s">
        <v>364</v>
      </c>
      <c r="G103" t="s">
        <v>365</v>
      </c>
      <c r="H103" cm="1">
        <f t="array" ref="H103">GetLatitude(D103)</f>
        <v>25.7616798</v>
      </c>
      <c r="I103" cm="1">
        <f t="array" ref="I103">GetLongitude(D103)</f>
        <v>-80.1917902</v>
      </c>
    </row>
    <row r="104" spans="1:9" x14ac:dyDescent="0.3">
      <c r="A104" t="s">
        <v>563</v>
      </c>
      <c r="B104">
        <v>25.204849299999999</v>
      </c>
      <c r="C104">
        <v>55.270782799999999</v>
      </c>
      <c r="D104" t="s">
        <v>366</v>
      </c>
      <c r="E104" t="s">
        <v>366</v>
      </c>
      <c r="F104" t="s">
        <v>367</v>
      </c>
      <c r="G104" t="s">
        <v>368</v>
      </c>
      <c r="H104" cm="1">
        <f t="array" ref="H104">GetLatitude(D104)</f>
        <v>35.937496000000003</v>
      </c>
      <c r="I104" cm="1">
        <f t="array" ref="I104">GetLongitude(D104)</f>
        <v>14.375416</v>
      </c>
    </row>
    <row r="105" spans="1:9" x14ac:dyDescent="0.3">
      <c r="A105" t="s">
        <v>563</v>
      </c>
      <c r="B105">
        <v>25.204849299999999</v>
      </c>
      <c r="C105">
        <v>55.270782799999999</v>
      </c>
      <c r="D105" t="s">
        <v>369</v>
      </c>
      <c r="E105" t="s">
        <v>370</v>
      </c>
      <c r="F105" t="s">
        <v>371</v>
      </c>
      <c r="G105" t="s">
        <v>372</v>
      </c>
      <c r="H105" cm="1">
        <f t="array" ref="H105">GetLatitude(D105)</f>
        <v>4.1754958999999996</v>
      </c>
      <c r="I105" cm="1">
        <f t="array" ref="I105">GetLongitude(D105)</f>
        <v>73.509347399999996</v>
      </c>
    </row>
    <row r="106" spans="1:9" x14ac:dyDescent="0.3">
      <c r="A106" t="s">
        <v>563</v>
      </c>
      <c r="B106">
        <v>25.204849299999999</v>
      </c>
      <c r="C106">
        <v>55.270782799999999</v>
      </c>
      <c r="D106" t="s">
        <v>373</v>
      </c>
      <c r="E106" t="s">
        <v>114</v>
      </c>
      <c r="F106" t="s">
        <v>374</v>
      </c>
      <c r="G106" t="s">
        <v>375</v>
      </c>
      <c r="H106" cm="1">
        <f t="array" ref="H106">GetLatitude(D106)</f>
        <v>14.5995124</v>
      </c>
      <c r="I106" cm="1">
        <f t="array" ref="I106">GetLongitude(D106)</f>
        <v>120.98421949999999</v>
      </c>
    </row>
    <row r="107" spans="1:9" x14ac:dyDescent="0.3">
      <c r="A107" t="s">
        <v>563</v>
      </c>
      <c r="B107">
        <v>25.204849299999999</v>
      </c>
      <c r="C107">
        <v>55.270782799999999</v>
      </c>
      <c r="D107" t="s">
        <v>376</v>
      </c>
      <c r="E107" t="s">
        <v>376</v>
      </c>
      <c r="F107" t="s">
        <v>377</v>
      </c>
      <c r="G107" t="s">
        <v>378</v>
      </c>
      <c r="H107" cm="1">
        <f t="array" ref="H107">GetLatitude(D107)</f>
        <v>-20.348403999999999</v>
      </c>
      <c r="I107" cm="1">
        <f t="array" ref="I107">GetLongitude(D107)</f>
        <v>57.552152</v>
      </c>
    </row>
    <row r="108" spans="1:9" x14ac:dyDescent="0.3">
      <c r="A108" t="s">
        <v>563</v>
      </c>
      <c r="B108">
        <v>25.204849299999999</v>
      </c>
      <c r="C108">
        <v>55.270782799999999</v>
      </c>
      <c r="D108" t="s">
        <v>379</v>
      </c>
      <c r="E108" t="s">
        <v>187</v>
      </c>
      <c r="F108" t="s">
        <v>380</v>
      </c>
      <c r="G108" t="s">
        <v>381</v>
      </c>
      <c r="H108" cm="1">
        <f t="array" ref="H108">GetLatitude(D108)</f>
        <v>48.135125299999999</v>
      </c>
      <c r="I108" cm="1">
        <f t="array" ref="I108">GetLongitude(D108)</f>
        <v>11.5819806</v>
      </c>
    </row>
    <row r="109" spans="1:9" x14ac:dyDescent="0.3">
      <c r="A109" t="s">
        <v>563</v>
      </c>
      <c r="B109">
        <v>25.204849299999999</v>
      </c>
      <c r="C109">
        <v>55.270782799999999</v>
      </c>
      <c r="D109" t="s">
        <v>382</v>
      </c>
      <c r="E109" t="s">
        <v>70</v>
      </c>
      <c r="F109" t="s">
        <v>383</v>
      </c>
      <c r="G109" t="s">
        <v>384</v>
      </c>
      <c r="H109" cm="1">
        <f t="array" ref="H109">GetLatitude(D109)</f>
        <v>45.464203500000004</v>
      </c>
      <c r="I109" cm="1">
        <f t="array" ref="I109">GetLongitude(D109)</f>
        <v>9.1899820000000005</v>
      </c>
    </row>
    <row r="110" spans="1:9" x14ac:dyDescent="0.3">
      <c r="A110" t="s">
        <v>563</v>
      </c>
      <c r="B110">
        <v>25.204849299999999</v>
      </c>
      <c r="C110">
        <v>55.270782799999999</v>
      </c>
      <c r="D110" t="s">
        <v>385</v>
      </c>
      <c r="E110" t="s">
        <v>386</v>
      </c>
      <c r="F110" t="s">
        <v>387</v>
      </c>
      <c r="G110" t="s">
        <v>388</v>
      </c>
      <c r="H110" cm="1">
        <f t="array" ref="H110">GetLatitude(D110)</f>
        <v>-1.2920659000000001</v>
      </c>
      <c r="I110" cm="1">
        <f t="array" ref="I110">GetLongitude(D110)</f>
        <v>36.821946199999999</v>
      </c>
    </row>
    <row r="111" spans="1:9" x14ac:dyDescent="0.3">
      <c r="A111" t="s">
        <v>563</v>
      </c>
      <c r="B111">
        <v>25.204849299999999</v>
      </c>
      <c r="C111">
        <v>55.270782799999999</v>
      </c>
      <c r="D111" t="s">
        <v>389</v>
      </c>
      <c r="E111" t="s">
        <v>110</v>
      </c>
      <c r="F111" t="s">
        <v>390</v>
      </c>
      <c r="G111" t="s">
        <v>391</v>
      </c>
      <c r="H111" cm="1">
        <f t="array" ref="H111">GetLatitude(D111)</f>
        <v>43.710172800000002</v>
      </c>
      <c r="I111" cm="1">
        <f t="array" ref="I111">GetLongitude(D111)</f>
        <v>7.2619531999999998</v>
      </c>
    </row>
    <row r="112" spans="1:9" x14ac:dyDescent="0.3">
      <c r="A112" t="s">
        <v>563</v>
      </c>
      <c r="B112">
        <v>25.204849299999999</v>
      </c>
      <c r="C112">
        <v>55.270782799999999</v>
      </c>
      <c r="D112" t="s">
        <v>392</v>
      </c>
      <c r="E112" t="s">
        <v>62</v>
      </c>
      <c r="F112" t="s">
        <v>393</v>
      </c>
      <c r="G112" t="s">
        <v>394</v>
      </c>
      <c r="H112" cm="1">
        <f t="array" ref="H112">GetLatitude(D112)</f>
        <v>54.978251999999998</v>
      </c>
      <c r="I112" cm="1">
        <f t="array" ref="I112">GetLongitude(D112)</f>
        <v>-1.61778</v>
      </c>
    </row>
    <row r="113" spans="1:9" x14ac:dyDescent="0.3">
      <c r="A113" t="s">
        <v>563</v>
      </c>
      <c r="B113">
        <v>25.204849299999999</v>
      </c>
      <c r="C113">
        <v>55.270782799999999</v>
      </c>
      <c r="D113" t="s">
        <v>238</v>
      </c>
      <c r="E113" t="s">
        <v>239</v>
      </c>
      <c r="F113" t="s">
        <v>395</v>
      </c>
      <c r="G113" t="s">
        <v>396</v>
      </c>
      <c r="H113" cm="1">
        <f t="array" ref="H113">GetLatitude(D113)</f>
        <v>35.676191899999999</v>
      </c>
      <c r="I113" cm="1">
        <f t="array" ref="I113">GetLongitude(D113)</f>
        <v>139.65031060000001</v>
      </c>
    </row>
    <row r="114" spans="1:9" x14ac:dyDescent="0.3">
      <c r="A114" t="s">
        <v>563</v>
      </c>
      <c r="B114">
        <v>25.204849299999999</v>
      </c>
      <c r="C114">
        <v>55.270782799999999</v>
      </c>
      <c r="D114" t="s">
        <v>397</v>
      </c>
      <c r="E114" t="s">
        <v>324</v>
      </c>
      <c r="F114" t="s">
        <v>398</v>
      </c>
      <c r="G114" t="s">
        <v>399</v>
      </c>
      <c r="H114" cm="1">
        <f t="array" ref="H114">GetLatitude(D114)</f>
        <v>41.157943799999998</v>
      </c>
      <c r="I114" cm="1">
        <f t="array" ref="I114">GetLongitude(D114)</f>
        <v>-8.6291053000000009</v>
      </c>
    </row>
    <row r="115" spans="1:9" x14ac:dyDescent="0.3">
      <c r="A115" t="s">
        <v>563</v>
      </c>
      <c r="B115">
        <v>25.204849299999999</v>
      </c>
      <c r="C115">
        <v>55.270782799999999</v>
      </c>
      <c r="D115" t="s">
        <v>400</v>
      </c>
      <c r="E115" t="s">
        <v>84</v>
      </c>
      <c r="F115" t="s">
        <v>401</v>
      </c>
      <c r="G115" t="s">
        <v>402</v>
      </c>
      <c r="H115" cm="1">
        <f t="array" ref="H115">GetLatitude(D115)</f>
        <v>41.878113599999999</v>
      </c>
      <c r="I115" cm="1">
        <f t="array" ref="I115">GetLongitude(D115)</f>
        <v>-87.629798199999996</v>
      </c>
    </row>
    <row r="116" spans="1:9" x14ac:dyDescent="0.3">
      <c r="A116" t="s">
        <v>563</v>
      </c>
      <c r="B116">
        <v>25.204849299999999</v>
      </c>
      <c r="C116">
        <v>55.270782799999999</v>
      </c>
      <c r="D116" t="s">
        <v>403</v>
      </c>
      <c r="E116" t="s">
        <v>404</v>
      </c>
      <c r="F116" t="s">
        <v>405</v>
      </c>
      <c r="G116" t="s">
        <v>406</v>
      </c>
      <c r="H116" cm="1">
        <f t="array" ref="H116">GetLatitude(D116)</f>
        <v>59.913868800000003</v>
      </c>
      <c r="I116" cm="1">
        <f t="array" ref="I116">GetLongitude(D116)</f>
        <v>10.7522454</v>
      </c>
    </row>
    <row r="117" spans="1:9" x14ac:dyDescent="0.3">
      <c r="A117" t="s">
        <v>563</v>
      </c>
      <c r="B117">
        <v>25.204849299999999</v>
      </c>
      <c r="C117">
        <v>55.270782799999999</v>
      </c>
      <c r="D117" t="s">
        <v>407</v>
      </c>
      <c r="E117" t="s">
        <v>103</v>
      </c>
      <c r="F117" t="s">
        <v>408</v>
      </c>
      <c r="G117" t="s">
        <v>409</v>
      </c>
      <c r="H117" cm="1">
        <f t="array" ref="H117">GetLatitude(D117)</f>
        <v>39.904210999999997</v>
      </c>
      <c r="I117" cm="1">
        <f t="array" ref="I117">GetLongitude(D117)</f>
        <v>116.40739499999999</v>
      </c>
    </row>
    <row r="118" spans="1:9" x14ac:dyDescent="0.3">
      <c r="A118" t="s">
        <v>563</v>
      </c>
      <c r="B118">
        <v>25.204849299999999</v>
      </c>
      <c r="C118">
        <v>55.270782799999999</v>
      </c>
      <c r="D118" t="s">
        <v>410</v>
      </c>
      <c r="E118" t="s">
        <v>77</v>
      </c>
      <c r="F118" t="s">
        <v>411</v>
      </c>
      <c r="G118" t="s">
        <v>412</v>
      </c>
      <c r="H118" cm="1">
        <f t="array" ref="H118">GetLatitude(D118)</f>
        <v>-31.952312299999999</v>
      </c>
      <c r="I118" cm="1">
        <f t="array" ref="I118">GetLongitude(D118)</f>
        <v>115.86130900000001</v>
      </c>
    </row>
    <row r="119" spans="1:9" x14ac:dyDescent="0.3">
      <c r="A119" t="s">
        <v>563</v>
      </c>
      <c r="B119">
        <v>25.204849299999999</v>
      </c>
      <c r="C119">
        <v>55.270782799999999</v>
      </c>
      <c r="D119" t="s">
        <v>413</v>
      </c>
      <c r="E119" t="s">
        <v>264</v>
      </c>
      <c r="F119" t="s">
        <v>414</v>
      </c>
      <c r="G119" t="s">
        <v>415</v>
      </c>
      <c r="H119" cm="1">
        <f t="array" ref="H119">GetLatitude(D119)</f>
        <v>34.015136599999998</v>
      </c>
      <c r="I119" cm="1">
        <f t="array" ref="I119">GetLongitude(D119)</f>
        <v>71.524915399999998</v>
      </c>
    </row>
    <row r="120" spans="1:9" x14ac:dyDescent="0.3">
      <c r="A120" t="s">
        <v>563</v>
      </c>
      <c r="B120">
        <v>25.204849299999999</v>
      </c>
      <c r="C120">
        <v>55.270782799999999</v>
      </c>
      <c r="D120" t="s">
        <v>416</v>
      </c>
      <c r="E120" t="s">
        <v>417</v>
      </c>
      <c r="F120" t="s">
        <v>418</v>
      </c>
      <c r="G120" t="s">
        <v>419</v>
      </c>
      <c r="H120" cm="1">
        <f t="array" ref="H120">GetLatitude(D120)</f>
        <v>11.556373799999999</v>
      </c>
      <c r="I120" cm="1">
        <f t="array" ref="I120">GetLongitude(D120)</f>
        <v>104.9282099</v>
      </c>
    </row>
    <row r="121" spans="1:9" x14ac:dyDescent="0.3">
      <c r="A121" t="s">
        <v>563</v>
      </c>
      <c r="B121">
        <v>25.204849299999999</v>
      </c>
      <c r="C121">
        <v>55.270782799999999</v>
      </c>
      <c r="D121" t="s">
        <v>420</v>
      </c>
      <c r="E121" t="s">
        <v>421</v>
      </c>
      <c r="F121" t="s">
        <v>422</v>
      </c>
      <c r="G121" t="s">
        <v>423</v>
      </c>
      <c r="H121" cm="1">
        <f t="array" ref="H121">GetLatitude(D121)</f>
        <v>50.075538100000003</v>
      </c>
      <c r="I121" cm="1">
        <f t="array" ref="I121">GetLongitude(D121)</f>
        <v>14.4378005</v>
      </c>
    </row>
    <row r="122" spans="1:9" x14ac:dyDescent="0.3">
      <c r="A122" t="s">
        <v>563</v>
      </c>
      <c r="B122">
        <v>25.204849299999999</v>
      </c>
      <c r="C122">
        <v>55.270782799999999</v>
      </c>
      <c r="D122" t="s">
        <v>424</v>
      </c>
      <c r="E122" t="s">
        <v>103</v>
      </c>
      <c r="F122" t="s">
        <v>425</v>
      </c>
      <c r="G122" t="s">
        <v>426</v>
      </c>
      <c r="H122" cm="1">
        <f t="array" ref="H122">GetLatitude(D122)</f>
        <v>31.230416000000002</v>
      </c>
      <c r="I122" cm="1">
        <f t="array" ref="I122">GetLongitude(D122)</f>
        <v>121.47370100000001</v>
      </c>
    </row>
    <row r="123" spans="1:9" x14ac:dyDescent="0.3">
      <c r="A123" t="s">
        <v>563</v>
      </c>
      <c r="B123">
        <v>25.204849299999999</v>
      </c>
      <c r="C123">
        <v>55.270782799999999</v>
      </c>
      <c r="D123" t="s">
        <v>427</v>
      </c>
      <c r="E123" t="s">
        <v>169</v>
      </c>
      <c r="F123" t="s">
        <v>428</v>
      </c>
      <c r="G123" t="s">
        <v>429</v>
      </c>
      <c r="H123" cm="1">
        <f t="array" ref="H123">GetLatitude(D123)</f>
        <v>24.7135517</v>
      </c>
      <c r="I123" cm="1">
        <f t="array" ref="I123">GetLongitude(D123)</f>
        <v>46.675295699999999</v>
      </c>
    </row>
    <row r="124" spans="1:9" x14ac:dyDescent="0.3">
      <c r="A124" t="s">
        <v>563</v>
      </c>
      <c r="B124">
        <v>25.204849299999999</v>
      </c>
      <c r="C124">
        <v>55.270782799999999</v>
      </c>
      <c r="D124" t="s">
        <v>267</v>
      </c>
      <c r="E124" t="s">
        <v>268</v>
      </c>
      <c r="F124" t="s">
        <v>430</v>
      </c>
      <c r="G124" t="s">
        <v>431</v>
      </c>
      <c r="H124" cm="1">
        <f t="array" ref="H124">GetLatitude(D124)</f>
        <v>41.008237600000001</v>
      </c>
      <c r="I124" cm="1">
        <f t="array" ref="I124">GetLongitude(D124)</f>
        <v>28.9783589</v>
      </c>
    </row>
    <row r="125" spans="1:9" x14ac:dyDescent="0.3">
      <c r="A125" t="s">
        <v>563</v>
      </c>
      <c r="B125">
        <v>25.204849299999999</v>
      </c>
      <c r="C125">
        <v>55.270782799999999</v>
      </c>
      <c r="D125" t="s">
        <v>432</v>
      </c>
      <c r="E125" t="s">
        <v>84</v>
      </c>
      <c r="F125" t="s">
        <v>433</v>
      </c>
      <c r="G125" t="s">
        <v>434</v>
      </c>
      <c r="H125" cm="1">
        <f t="array" ref="H125">GetLatitude(D125)</f>
        <v>47.606209499999999</v>
      </c>
      <c r="I125" cm="1">
        <f t="array" ref="I125">GetLongitude(D125)</f>
        <v>-122.3320708</v>
      </c>
    </row>
    <row r="126" spans="1:9" x14ac:dyDescent="0.3">
      <c r="A126" t="s">
        <v>563</v>
      </c>
      <c r="B126">
        <v>25.204849299999999</v>
      </c>
      <c r="C126">
        <v>55.270782799999999</v>
      </c>
      <c r="D126" t="s">
        <v>435</v>
      </c>
      <c r="E126" t="s">
        <v>435</v>
      </c>
      <c r="F126" t="s">
        <v>436</v>
      </c>
      <c r="G126" t="s">
        <v>437</v>
      </c>
      <c r="H126" cm="1">
        <f t="array" ref="H126">GetLatitude(D126)</f>
        <v>-4.6795739999999997</v>
      </c>
      <c r="I126" cm="1">
        <f t="array" ref="I126">GetLongitude(D126)</f>
        <v>55.491976999999999</v>
      </c>
    </row>
    <row r="127" spans="1:9" x14ac:dyDescent="0.3">
      <c r="A127" t="s">
        <v>563</v>
      </c>
      <c r="B127">
        <v>25.204849299999999</v>
      </c>
      <c r="C127">
        <v>55.270782799999999</v>
      </c>
      <c r="D127" t="s">
        <v>438</v>
      </c>
      <c r="E127" t="s">
        <v>84</v>
      </c>
      <c r="F127" t="s">
        <v>439</v>
      </c>
      <c r="G127" t="s">
        <v>440</v>
      </c>
      <c r="H127" cm="1">
        <f t="array" ref="H127">GetLatitude(D127)</f>
        <v>37.774929499999999</v>
      </c>
      <c r="I127" cm="1">
        <f t="array" ref="I127">GetLongitude(D127)</f>
        <v>-122.4194155</v>
      </c>
    </row>
    <row r="128" spans="1:9" x14ac:dyDescent="0.3">
      <c r="A128" t="s">
        <v>563</v>
      </c>
      <c r="B128">
        <v>25.204849299999999</v>
      </c>
      <c r="C128">
        <v>55.270782799999999</v>
      </c>
      <c r="D128" t="s">
        <v>441</v>
      </c>
      <c r="E128" t="s">
        <v>228</v>
      </c>
      <c r="F128" t="s">
        <v>442</v>
      </c>
      <c r="G128" t="s">
        <v>443</v>
      </c>
      <c r="H128" cm="1">
        <f t="array" ref="H128">GetLatitude(D128)</f>
        <v>10.8230989</v>
      </c>
      <c r="I128" cm="1">
        <f t="array" ref="I128">GetLongitude(D128)</f>
        <v>106.6296638</v>
      </c>
    </row>
    <row r="129" spans="1:9" x14ac:dyDescent="0.3">
      <c r="A129" t="s">
        <v>563</v>
      </c>
      <c r="B129">
        <v>25.204849299999999</v>
      </c>
      <c r="C129">
        <v>55.270782799999999</v>
      </c>
      <c r="D129" t="s">
        <v>444</v>
      </c>
      <c r="E129" t="s">
        <v>444</v>
      </c>
      <c r="F129" t="s">
        <v>445</v>
      </c>
      <c r="G129" t="s">
        <v>446</v>
      </c>
      <c r="H129" cm="1">
        <f t="array" ref="H129">GetLatitude(D129)</f>
        <v>1.3520829999999999</v>
      </c>
      <c r="I129" cm="1">
        <f t="array" ref="I129">GetLongitude(D129)</f>
        <v>103.819836</v>
      </c>
    </row>
    <row r="130" spans="1:9" x14ac:dyDescent="0.3">
      <c r="A130" t="s">
        <v>563</v>
      </c>
      <c r="B130">
        <v>25.204849299999999</v>
      </c>
      <c r="C130">
        <v>55.270782799999999</v>
      </c>
      <c r="D130" t="s">
        <v>447</v>
      </c>
      <c r="E130" t="s">
        <v>264</v>
      </c>
      <c r="F130" t="s">
        <v>448</v>
      </c>
      <c r="G130" t="s">
        <v>449</v>
      </c>
      <c r="H130" cm="1">
        <f t="array" ref="H130">GetLatitude(D130)</f>
        <v>32.494499099999999</v>
      </c>
      <c r="I130" cm="1">
        <f t="array" ref="I130">GetLongitude(D130)</f>
        <v>74.522891599999994</v>
      </c>
    </row>
    <row r="131" spans="1:9" x14ac:dyDescent="0.3">
      <c r="A131" t="s">
        <v>563</v>
      </c>
      <c r="B131">
        <v>25.204849299999999</v>
      </c>
      <c r="C131">
        <v>55.270782799999999</v>
      </c>
      <c r="D131" t="s">
        <v>315</v>
      </c>
      <c r="E131" t="s">
        <v>62</v>
      </c>
      <c r="F131" t="s">
        <v>450</v>
      </c>
      <c r="G131" t="s">
        <v>451</v>
      </c>
      <c r="H131" cm="1">
        <f t="array" ref="H131">GetLatitude(D131)</f>
        <v>51.507217799999999</v>
      </c>
      <c r="I131" cm="1">
        <f t="array" ref="I131">GetLongitude(D131)</f>
        <v>-0.12758620000000001</v>
      </c>
    </row>
    <row r="132" spans="1:9" x14ac:dyDescent="0.3">
      <c r="A132" t="s">
        <v>563</v>
      </c>
      <c r="B132">
        <v>25.204849299999999</v>
      </c>
      <c r="C132">
        <v>55.270782799999999</v>
      </c>
      <c r="D132" t="s">
        <v>452</v>
      </c>
      <c r="E132" t="s">
        <v>77</v>
      </c>
      <c r="F132" t="s">
        <v>453</v>
      </c>
      <c r="G132" t="s">
        <v>454</v>
      </c>
      <c r="H132" cm="1">
        <f t="array" ref="H132">GetLatitude(D132)</f>
        <v>-33.868819700000003</v>
      </c>
      <c r="I132" cm="1">
        <f t="array" ref="I132">GetLongitude(D132)</f>
        <v>151.2092955</v>
      </c>
    </row>
    <row r="133" spans="1:9" x14ac:dyDescent="0.3">
      <c r="A133" t="s">
        <v>563</v>
      </c>
      <c r="B133">
        <v>25.204849299999999</v>
      </c>
      <c r="C133">
        <v>55.270782799999999</v>
      </c>
      <c r="D133" t="s">
        <v>455</v>
      </c>
      <c r="E133" t="s">
        <v>456</v>
      </c>
      <c r="F133" t="s">
        <v>457</v>
      </c>
      <c r="G133" t="s">
        <v>458</v>
      </c>
      <c r="H133" cm="1">
        <f t="array" ref="H133">GetLatitude(D133)</f>
        <v>32.085299900000003</v>
      </c>
      <c r="I133" cm="1">
        <f t="array" ref="I133">GetLongitude(D133)</f>
        <v>34.781767600000002</v>
      </c>
    </row>
    <row r="134" spans="1:9" x14ac:dyDescent="0.3">
      <c r="A134" t="s">
        <v>563</v>
      </c>
      <c r="B134">
        <v>25.204849299999999</v>
      </c>
      <c r="C134">
        <v>55.270782799999999</v>
      </c>
      <c r="D134" t="s">
        <v>459</v>
      </c>
      <c r="E134" t="s">
        <v>460</v>
      </c>
      <c r="F134" t="s">
        <v>461</v>
      </c>
      <c r="G134" t="s">
        <v>462</v>
      </c>
      <c r="H134" cm="1">
        <f t="array" ref="H134">GetLatitude(D134)</f>
        <v>25.032963599999999</v>
      </c>
      <c r="I134" cm="1">
        <f t="array" ref="I134">GetLongitude(D134)</f>
        <v>121.5654268</v>
      </c>
    </row>
    <row r="135" spans="1:9" x14ac:dyDescent="0.3">
      <c r="A135" t="s">
        <v>563</v>
      </c>
      <c r="B135">
        <v>25.204849299999999</v>
      </c>
      <c r="C135">
        <v>55.270782799999999</v>
      </c>
      <c r="D135" t="s">
        <v>463</v>
      </c>
      <c r="E135" t="s">
        <v>27</v>
      </c>
      <c r="F135" t="s">
        <v>464</v>
      </c>
      <c r="G135" t="s">
        <v>465</v>
      </c>
      <c r="H135" cm="1">
        <f t="array" ref="H135">GetLatitude(D135)</f>
        <v>8.5241390999999993</v>
      </c>
      <c r="I135" cm="1">
        <f t="array" ref="I135">GetLongitude(D135)</f>
        <v>76.936637599999997</v>
      </c>
    </row>
    <row r="136" spans="1:9" x14ac:dyDescent="0.3">
      <c r="A136" t="s">
        <v>563</v>
      </c>
      <c r="B136">
        <v>25.204849299999999</v>
      </c>
      <c r="C136">
        <v>55.270782799999999</v>
      </c>
      <c r="D136" t="s">
        <v>466</v>
      </c>
      <c r="E136" t="s">
        <v>467</v>
      </c>
      <c r="F136" t="s">
        <v>468</v>
      </c>
      <c r="G136" t="s">
        <v>469</v>
      </c>
      <c r="H136" cm="1">
        <f t="array" ref="H136">GetLatitude(D136)</f>
        <v>33.886916999999997</v>
      </c>
      <c r="I136" cm="1">
        <f t="array" ref="I136">GetLongitude(D136)</f>
        <v>9.5374990000000004</v>
      </c>
    </row>
    <row r="137" spans="1:9" x14ac:dyDescent="0.3">
      <c r="A137" t="s">
        <v>563</v>
      </c>
      <c r="B137">
        <v>25.204849299999999</v>
      </c>
      <c r="C137">
        <v>55.270782799999999</v>
      </c>
      <c r="D137" t="s">
        <v>470</v>
      </c>
      <c r="E137" t="s">
        <v>70</v>
      </c>
      <c r="F137" t="s">
        <v>471</v>
      </c>
      <c r="G137" t="s">
        <v>472</v>
      </c>
      <c r="H137" cm="1">
        <f t="array" ref="H137">GetLatitude(D137)</f>
        <v>45.440847400000003</v>
      </c>
      <c r="I137" cm="1">
        <f t="array" ref="I137">GetLongitude(D137)</f>
        <v>12.315515100000001</v>
      </c>
    </row>
    <row r="138" spans="1:9" x14ac:dyDescent="0.3">
      <c r="A138" t="s">
        <v>563</v>
      </c>
      <c r="B138">
        <v>25.204849299999999</v>
      </c>
      <c r="C138">
        <v>55.270782799999999</v>
      </c>
      <c r="D138" t="s">
        <v>473</v>
      </c>
      <c r="E138" t="s">
        <v>474</v>
      </c>
      <c r="F138" t="s">
        <v>475</v>
      </c>
      <c r="G138" t="s">
        <v>476</v>
      </c>
      <c r="H138" cm="1">
        <f t="array" ref="H138">GetLatitude(D138)</f>
        <v>48.208174300000003</v>
      </c>
      <c r="I138" cm="1">
        <f t="array" ref="I138">GetLongitude(D138)</f>
        <v>16.3738189</v>
      </c>
    </row>
    <row r="139" spans="1:9" x14ac:dyDescent="0.3">
      <c r="A139" t="s">
        <v>563</v>
      </c>
      <c r="B139">
        <v>25.204849299999999</v>
      </c>
      <c r="C139">
        <v>55.270782799999999</v>
      </c>
      <c r="D139" t="s">
        <v>477</v>
      </c>
      <c r="E139" t="s">
        <v>478</v>
      </c>
      <c r="F139" t="s">
        <v>479</v>
      </c>
      <c r="G139" t="s">
        <v>480</v>
      </c>
      <c r="H139" cm="1">
        <f t="array" ref="H139">GetLatitude(D139)</f>
        <v>52.2296756</v>
      </c>
      <c r="I139" cm="1">
        <f t="array" ref="I139">GetLongitude(D139)</f>
        <v>21.012228700000001</v>
      </c>
    </row>
    <row r="140" spans="1:9" x14ac:dyDescent="0.3">
      <c r="A140" t="s">
        <v>563</v>
      </c>
      <c r="B140">
        <v>25.204849299999999</v>
      </c>
      <c r="C140">
        <v>55.270782799999999</v>
      </c>
      <c r="D140" t="s">
        <v>481</v>
      </c>
      <c r="E140" t="s">
        <v>482</v>
      </c>
      <c r="F140" t="s">
        <v>483</v>
      </c>
      <c r="G140" t="s">
        <v>484</v>
      </c>
      <c r="H140" cm="1">
        <f t="array" ref="H140">GetLatitude(D140)</f>
        <v>43.653225999999997</v>
      </c>
      <c r="I140" cm="1">
        <f t="array" ref="I140">GetLongitude(D140)</f>
        <v>-79.383184299999996</v>
      </c>
    </row>
    <row r="141" spans="1:9" x14ac:dyDescent="0.3">
      <c r="A141" t="s">
        <v>563</v>
      </c>
      <c r="B141">
        <v>25.204849299999999</v>
      </c>
      <c r="C141">
        <v>55.270782799999999</v>
      </c>
      <c r="D141" t="s">
        <v>485</v>
      </c>
      <c r="E141" t="s">
        <v>486</v>
      </c>
      <c r="F141" t="s">
        <v>487</v>
      </c>
      <c r="G141" t="s">
        <v>488</v>
      </c>
      <c r="H141" cm="1">
        <f t="array" ref="H141">GetLatitude(D141)</f>
        <v>45.815010800000003</v>
      </c>
      <c r="I141" cm="1">
        <f t="array" ref="I141">GetLongitude(D141)</f>
        <v>15.981919</v>
      </c>
    </row>
    <row r="142" spans="1:9" x14ac:dyDescent="0.3">
      <c r="A142" t="s">
        <v>563</v>
      </c>
      <c r="B142">
        <v>25.204849299999999</v>
      </c>
      <c r="C142">
        <v>55.270782799999999</v>
      </c>
      <c r="D142" t="s">
        <v>489</v>
      </c>
      <c r="E142" t="s">
        <v>221</v>
      </c>
      <c r="F142" t="s">
        <v>490</v>
      </c>
      <c r="G142" t="s">
        <v>491</v>
      </c>
      <c r="H142" cm="1">
        <f t="array" ref="H142">GetLatitude(D142)</f>
        <v>47.376886599999999</v>
      </c>
      <c r="I142" cm="1">
        <f t="array" ref="I142">GetLongitude(D142)</f>
        <v>8.5416939999999997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A2951-652E-4FBF-BE5C-3015384CA340}">
  <sheetPr codeName="Sheet2"/>
  <dimension ref="A1:B13"/>
  <sheetViews>
    <sheetView workbookViewId="0">
      <selection activeCell="A2" sqref="A2"/>
    </sheetView>
  </sheetViews>
  <sheetFormatPr defaultRowHeight="14.4" x14ac:dyDescent="0.3"/>
  <cols>
    <col min="1" max="1" width="10.77734375" style="4" customWidth="1"/>
    <col min="2" max="2" width="98.77734375" style="4" customWidth="1"/>
    <col min="3" max="16384" width="8.88671875" style="4"/>
  </cols>
  <sheetData>
    <row r="1" spans="1:2" x14ac:dyDescent="0.3">
      <c r="A1" s="4" t="s">
        <v>504</v>
      </c>
      <c r="B1" s="4" t="s">
        <v>505</v>
      </c>
    </row>
    <row r="2" spans="1:2" ht="41.4" x14ac:dyDescent="0.3">
      <c r="A2" s="1">
        <v>1984</v>
      </c>
      <c r="B2" s="2" t="s">
        <v>492</v>
      </c>
    </row>
    <row r="3" spans="1:2" ht="69" x14ac:dyDescent="0.3">
      <c r="A3" s="1">
        <v>1985</v>
      </c>
      <c r="B3" s="2" t="s">
        <v>493</v>
      </c>
    </row>
    <row r="4" spans="1:2" ht="27.6" x14ac:dyDescent="0.3">
      <c r="A4" s="1">
        <v>1985</v>
      </c>
      <c r="B4" s="2" t="s">
        <v>494</v>
      </c>
    </row>
    <row r="5" spans="1:2" ht="27.6" x14ac:dyDescent="0.3">
      <c r="A5" s="1">
        <v>1987</v>
      </c>
      <c r="B5" s="2" t="s">
        <v>495</v>
      </c>
    </row>
    <row r="6" spans="1:2" ht="27.6" x14ac:dyDescent="0.3">
      <c r="A6" s="1">
        <v>1992</v>
      </c>
      <c r="B6" s="2" t="s">
        <v>496</v>
      </c>
    </row>
    <row r="7" spans="1:2" ht="27.6" x14ac:dyDescent="0.3">
      <c r="A7" s="1">
        <v>1992</v>
      </c>
      <c r="B7" s="2" t="s">
        <v>497</v>
      </c>
    </row>
    <row r="8" spans="1:2" ht="27.6" x14ac:dyDescent="0.3">
      <c r="A8" s="1">
        <v>2000</v>
      </c>
      <c r="B8" s="2" t="s">
        <v>498</v>
      </c>
    </row>
    <row r="9" spans="1:2" ht="27.6" x14ac:dyDescent="0.3">
      <c r="A9" s="1">
        <v>2005</v>
      </c>
      <c r="B9" s="2" t="s">
        <v>499</v>
      </c>
    </row>
    <row r="10" spans="1:2" ht="27.6" x14ac:dyDescent="0.3">
      <c r="A10" s="1">
        <v>2016</v>
      </c>
      <c r="B10" s="2" t="s">
        <v>500</v>
      </c>
    </row>
    <row r="11" spans="1:2" ht="27.6" x14ac:dyDescent="0.3">
      <c r="A11" s="3">
        <v>2019</v>
      </c>
      <c r="B11" s="3" t="s">
        <v>501</v>
      </c>
    </row>
    <row r="12" spans="1:2" x14ac:dyDescent="0.3">
      <c r="A12" s="3">
        <v>2021</v>
      </c>
      <c r="B12" s="2" t="s">
        <v>502</v>
      </c>
    </row>
    <row r="13" spans="1:2" x14ac:dyDescent="0.3">
      <c r="A13" s="2">
        <v>2023</v>
      </c>
      <c r="B13" s="2" t="s">
        <v>503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94A44-C604-4A34-A464-90BAD9C72064}">
  <sheetPr codeName="Sheet3"/>
  <dimension ref="A1:B8"/>
  <sheetViews>
    <sheetView workbookViewId="0">
      <selection activeCell="A11" sqref="A11"/>
    </sheetView>
  </sheetViews>
  <sheetFormatPr defaultRowHeight="14.4" x14ac:dyDescent="0.3"/>
  <cols>
    <col min="1" max="1" width="40.6640625" customWidth="1"/>
    <col min="2" max="2" width="17.77734375" customWidth="1"/>
  </cols>
  <sheetData>
    <row r="1" spans="1:2" x14ac:dyDescent="0.3">
      <c r="A1" t="s">
        <v>506</v>
      </c>
      <c r="B1">
        <v>19</v>
      </c>
    </row>
    <row r="2" spans="1:2" x14ac:dyDescent="0.3">
      <c r="A2" t="s">
        <v>507</v>
      </c>
      <c r="B2">
        <v>152</v>
      </c>
    </row>
    <row r="3" spans="1:2" x14ac:dyDescent="0.3">
      <c r="A3" t="s">
        <v>508</v>
      </c>
      <c r="B3">
        <v>262</v>
      </c>
    </row>
    <row r="4" spans="1:2" x14ac:dyDescent="0.3">
      <c r="A4" t="s">
        <v>509</v>
      </c>
      <c r="B4">
        <v>160</v>
      </c>
    </row>
    <row r="5" spans="1:2" x14ac:dyDescent="0.3">
      <c r="A5" t="s">
        <v>510</v>
      </c>
      <c r="B5">
        <v>45843</v>
      </c>
    </row>
    <row r="6" spans="1:2" x14ac:dyDescent="0.3">
      <c r="A6" t="s">
        <v>511</v>
      </c>
      <c r="B6" t="s">
        <v>512</v>
      </c>
    </row>
    <row r="7" spans="1:2" x14ac:dyDescent="0.3">
      <c r="A7" t="s">
        <v>511</v>
      </c>
      <c r="B7" t="s">
        <v>513</v>
      </c>
    </row>
    <row r="8" spans="1:2" x14ac:dyDescent="0.3">
      <c r="A8" t="s">
        <v>511</v>
      </c>
      <c r="B8" t="s">
        <v>514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82FC6-6F47-44ED-AAD5-83C607262C8A}">
  <sheetPr codeName="Sheet4"/>
  <dimension ref="A1:B19"/>
  <sheetViews>
    <sheetView workbookViewId="0">
      <selection activeCell="A10" sqref="A10"/>
    </sheetView>
  </sheetViews>
  <sheetFormatPr defaultRowHeight="14.4" x14ac:dyDescent="0.3"/>
  <cols>
    <col min="1" max="1" width="46" customWidth="1"/>
    <col min="2" max="2" width="37.33203125" customWidth="1"/>
  </cols>
  <sheetData>
    <row r="1" spans="1:2" x14ac:dyDescent="0.3">
      <c r="A1" t="s">
        <v>515</v>
      </c>
      <c r="B1" t="s">
        <v>512</v>
      </c>
    </row>
    <row r="2" spans="1:2" x14ac:dyDescent="0.3">
      <c r="A2" t="s">
        <v>516</v>
      </c>
      <c r="B2">
        <v>118</v>
      </c>
    </row>
    <row r="3" spans="1:2" x14ac:dyDescent="0.3">
      <c r="A3" t="s">
        <v>507</v>
      </c>
      <c r="B3">
        <v>50</v>
      </c>
    </row>
    <row r="4" spans="1:2" x14ac:dyDescent="0.3">
      <c r="A4" t="s">
        <v>517</v>
      </c>
      <c r="B4">
        <v>73</v>
      </c>
    </row>
    <row r="5" spans="1:2" x14ac:dyDescent="0.3">
      <c r="A5" t="s">
        <v>518</v>
      </c>
      <c r="B5">
        <v>105</v>
      </c>
    </row>
    <row r="6" spans="1:2" x14ac:dyDescent="0.3">
      <c r="A6" t="s">
        <v>519</v>
      </c>
      <c r="B6" t="s">
        <v>520</v>
      </c>
    </row>
    <row r="7" spans="1:2" x14ac:dyDescent="0.3">
      <c r="A7" t="s">
        <v>521</v>
      </c>
      <c r="B7" t="s">
        <v>522</v>
      </c>
    </row>
    <row r="8" spans="1:2" x14ac:dyDescent="0.3">
      <c r="A8" t="s">
        <v>523</v>
      </c>
      <c r="B8" t="s">
        <v>524</v>
      </c>
    </row>
    <row r="9" spans="1:2" x14ac:dyDescent="0.3">
      <c r="A9" t="s">
        <v>525</v>
      </c>
      <c r="B9" s="5">
        <v>115700</v>
      </c>
    </row>
    <row r="12" spans="1:2" x14ac:dyDescent="0.3">
      <c r="A12" t="s">
        <v>536</v>
      </c>
      <c r="B12" t="s">
        <v>526</v>
      </c>
    </row>
    <row r="13" spans="1:2" x14ac:dyDescent="0.3">
      <c r="A13" t="s">
        <v>537</v>
      </c>
      <c r="B13" t="s">
        <v>527</v>
      </c>
    </row>
    <row r="14" spans="1:2" x14ac:dyDescent="0.3">
      <c r="A14" t="s">
        <v>538</v>
      </c>
      <c r="B14" t="s">
        <v>528</v>
      </c>
    </row>
    <row r="15" spans="1:2" x14ac:dyDescent="0.3">
      <c r="A15" t="s">
        <v>529</v>
      </c>
      <c r="B15" t="s">
        <v>530</v>
      </c>
    </row>
    <row r="16" spans="1:2" x14ac:dyDescent="0.3">
      <c r="A16" t="s">
        <v>529</v>
      </c>
      <c r="B16" t="s">
        <v>531</v>
      </c>
    </row>
    <row r="17" spans="1:2" x14ac:dyDescent="0.3">
      <c r="A17" t="s">
        <v>529</v>
      </c>
      <c r="B17" t="s">
        <v>532</v>
      </c>
    </row>
    <row r="18" spans="1:2" x14ac:dyDescent="0.3">
      <c r="A18" t="s">
        <v>529</v>
      </c>
      <c r="B18" t="s">
        <v>533</v>
      </c>
    </row>
    <row r="19" spans="1:2" x14ac:dyDescent="0.3">
      <c r="A19" t="s">
        <v>534</v>
      </c>
      <c r="B19" t="s">
        <v>535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E874F-6B20-44D7-95E0-99AABE2551B3}">
  <sheetPr codeName="Sheet5"/>
  <dimension ref="A1:E21"/>
  <sheetViews>
    <sheetView workbookViewId="0">
      <selection activeCell="D13" sqref="D13"/>
    </sheetView>
  </sheetViews>
  <sheetFormatPr defaultRowHeight="14.4" x14ac:dyDescent="0.3"/>
  <cols>
    <col min="1" max="1" width="48.5546875" customWidth="1"/>
    <col min="2" max="2" width="28.44140625" customWidth="1"/>
  </cols>
  <sheetData>
    <row r="1" spans="1:2" x14ac:dyDescent="0.3">
      <c r="A1" t="s">
        <v>515</v>
      </c>
      <c r="B1" t="s">
        <v>512</v>
      </c>
    </row>
    <row r="2" spans="1:2" x14ac:dyDescent="0.3">
      <c r="A2" t="s">
        <v>539</v>
      </c>
      <c r="B2">
        <v>134</v>
      </c>
    </row>
    <row r="3" spans="1:2" x14ac:dyDescent="0.3">
      <c r="A3" t="s">
        <v>540</v>
      </c>
      <c r="B3">
        <v>115</v>
      </c>
    </row>
    <row r="4" spans="1:2" x14ac:dyDescent="0.3">
      <c r="A4" t="s">
        <v>541</v>
      </c>
      <c r="B4">
        <v>119</v>
      </c>
    </row>
    <row r="5" spans="1:2" x14ac:dyDescent="0.3">
      <c r="A5" t="s">
        <v>542</v>
      </c>
      <c r="B5">
        <v>6</v>
      </c>
    </row>
    <row r="6" spans="1:2" x14ac:dyDescent="0.3">
      <c r="A6" t="s">
        <v>543</v>
      </c>
      <c r="B6">
        <v>298</v>
      </c>
    </row>
    <row r="7" spans="1:2" x14ac:dyDescent="0.3">
      <c r="A7" t="s">
        <v>544</v>
      </c>
      <c r="B7" t="s">
        <v>545</v>
      </c>
    </row>
    <row r="8" spans="1:2" x14ac:dyDescent="0.3">
      <c r="A8" t="s">
        <v>546</v>
      </c>
      <c r="B8" t="s">
        <v>547</v>
      </c>
    </row>
    <row r="9" spans="1:2" x14ac:dyDescent="0.3">
      <c r="A9" t="s">
        <v>523</v>
      </c>
      <c r="B9" t="s">
        <v>524</v>
      </c>
    </row>
    <row r="10" spans="1:2" x14ac:dyDescent="0.3">
      <c r="A10" t="s">
        <v>548</v>
      </c>
      <c r="B10" t="s">
        <v>549</v>
      </c>
    </row>
    <row r="13" spans="1:2" x14ac:dyDescent="0.3">
      <c r="A13" t="s">
        <v>550</v>
      </c>
    </row>
    <row r="14" spans="1:2" x14ac:dyDescent="0.3">
      <c r="A14" t="s">
        <v>551</v>
      </c>
    </row>
    <row r="15" spans="1:2" x14ac:dyDescent="0.3">
      <c r="A15" t="s">
        <v>552</v>
      </c>
    </row>
    <row r="17" spans="1:5" x14ac:dyDescent="0.3">
      <c r="B17" t="s">
        <v>553</v>
      </c>
      <c r="E17" t="s">
        <v>554</v>
      </c>
    </row>
    <row r="18" spans="1:5" x14ac:dyDescent="0.3">
      <c r="A18" t="s">
        <v>529</v>
      </c>
      <c r="B18" t="s">
        <v>555</v>
      </c>
    </row>
    <row r="19" spans="1:5" x14ac:dyDescent="0.3">
      <c r="A19" t="s">
        <v>529</v>
      </c>
      <c r="B19" t="s">
        <v>556</v>
      </c>
      <c r="E19" t="s">
        <v>557</v>
      </c>
    </row>
    <row r="21" spans="1:5" x14ac:dyDescent="0.3">
      <c r="A21" t="s">
        <v>534</v>
      </c>
      <c r="B21" t="s">
        <v>558</v>
      </c>
      <c r="E21" t="s">
        <v>559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Destinations</vt:lpstr>
      <vt:lpstr>Timeline</vt:lpstr>
      <vt:lpstr>Outline</vt:lpstr>
      <vt:lpstr>A380</vt:lpstr>
      <vt:lpstr>Boeing 777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2023-03-25T06:50:57Z</dcterms:created>
  <dcterms:modified xsi:type="dcterms:W3CDTF">2023-03-25T12:14:17Z</dcterms:modified>
</cp:coreProperties>
</file>